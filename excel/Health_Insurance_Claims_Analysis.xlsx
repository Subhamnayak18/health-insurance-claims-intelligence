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d027065824f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91fd59fd714467e"/>
    <x:sheet xmlns:r="http://schemas.openxmlformats.org/officeDocument/2006/relationships" name="Claims EDA" sheetId="2" r:id="R2150e7fe98f94d3c"/>
    <x:sheet xmlns:r="http://schemas.openxmlformats.org/officeDocument/2006/relationships" name="Data Quality Checks" sheetId="3" r:id="R7b09ff06c254408e"/>
    <x:sheet xmlns:r="http://schemas.openxmlformats.org/officeDocument/2006/relationships" name="Lookup Tables" sheetId="4" r:id="Re78baf23635f49cb"/>
    <x:sheet xmlns:r="http://schemas.openxmlformats.org/officeDocument/2006/relationships" name="KPI Dictionary" sheetId="5" r:id="R4a2d28286ba54125"/>
    <x:sheet xmlns:r="http://schemas.openxmlformats.org/officeDocument/2006/relationships" name="Assumptions" sheetId="6" r:id="Ra546dc5fa5454a95"/>
    <x:sheet xmlns:r="http://schemas.openxmlformats.org/officeDocument/2006/relationships" name="Dashboard" sheetId="7" r:id="R85ccec10c06349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0%"/>
    <x:numFmt numFmtId="202" formatCode="$#,##0"/>
    <x:numFmt numFmtId="203" formatCode="0.0"/>
    <x:numFmt numFmtId="204" formatCode="mmm-yyyy"/>
    <x:numFmt numFmtId="205" formatCode="0%"/>
    <x:numFmt numFmtId="206" formatCode="0.0%"/>
  </x:numFmts>
  <x:fonts count="11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b/>
      <x:sz val="20"/>
      <x:color rgb="FFFFFFFF"/>
      <x:name val="Carlito"/>
    </x:font>
    <x:font>
      <x:i/>
      <x:sz val="11"/>
      <x:color rgb="FF475569"/>
      <x:name val="Carlito"/>
    </x:font>
    <x:font>
      <x:b/>
      <x:sz val="18"/>
      <x:color rgb="FF0F172A"/>
      <x:name val="Carlito"/>
    </x:font>
    <x:font>
      <x:b/>
      <x:sz val="16"/>
      <x:color rgb="FF0F172A"/>
      <x:name val="Carlito"/>
    </x:font>
    <x:font>
      <x:sz val="11"/>
      <x:color rgb="FF0F172A"/>
      <x:name val="Carlito"/>
    </x:font>
    <x:font>
      <x:sz val="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0F766E"/>
      </x:patternFill>
    </x:fill>
    <x:fill>
      <x:patternFill patternType="solid">
        <x:fgColor rgb="FFF1F5F9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0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4" fillId="4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/>
    <x:xf numFmtId="200" fontId="4" fillId="4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4" fillId="4" borderId="0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/>
    <x:xf numFmtId="201" fontId="4" fillId="4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4" fillId="4" borderId="0" xfId="0" applyNumberFormat="1" applyFont="1" applyFill="1" applyBorder="1" applyAlignment="1">
      <x:alignment horizontal="center" vertical="center"/>
    </x:xf>
    <x:xf numFmtId="202" fontId="0" fillId="0" borderId="1" xfId="0" applyNumberFormat="1" applyFont="1" applyFill="1" applyBorder="1"/>
    <x:xf numFmtId="202" fontId="4" fillId="4" borderId="1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  <x:xf numFmtId="203" fontId="4" fillId="4" borderId="0" xfId="0" applyNumberFormat="1" applyFont="1" applyFill="1" applyBorder="1" applyAlignment="1">
      <x:alignment horizontal="center" vertical="center"/>
    </x:xf>
    <x:xf numFmtId="203" fontId="0" fillId="0" borderId="1" xfId="0" applyNumberFormat="1" applyFont="1" applyFill="1" applyBorder="1"/>
    <x:xf numFmtId="203" fontId="4" fillId="4" borderId="1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200" fontId="7" fillId="5" borderId="0" xfId="0" applyNumberFormat="1" applyFont="1" applyFill="1" applyBorder="1" applyAlignment="1">
      <x:alignment horizontal="center" vertical="center"/>
    </x:xf>
    <x:xf numFmtId="200" fontId="7" fillId="5" borderId="1" xfId="0" applyNumberFormat="1" applyFont="1" applyFill="1" applyBorder="1" applyAlignment="1">
      <x:alignment horizontal="center" vertical="center"/>
    </x:xf>
    <x:xf numFmtId="206" fontId="7" fillId="5" borderId="0" xfId="0" applyNumberFormat="1" applyFont="1" applyFill="1" applyBorder="1" applyAlignment="1">
      <x:alignment horizontal="center" vertical="center"/>
    </x:xf>
    <x:xf numFmtId="206" fontId="7" fillId="5" borderId="1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 vertical="center"/>
    </x:xf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horizontal="center"/>
    </x:xf>
    <x:xf numFmtId="0" fontId="8" fillId="5" borderId="1" xfId="0" applyNumberFormat="1" applyFont="1" applyFill="1" applyBorder="1" applyAlignment="1">
      <x:alignment horizontal="center" vertical="center"/>
    </x:xf>
    <x:xf numFmtId="202" fontId="8" fillId="5" borderId="0" xfId="0" applyNumberFormat="1" applyFont="1" applyFill="1" applyBorder="1" applyAlignment="1">
      <x:alignment horizontal="center" vertical="center"/>
    </x:xf>
    <x:xf numFmtId="202" fontId="8" fillId="5" borderId="1" xfId="0" applyNumberFormat="1" applyFont="1" applyFill="1" applyBorder="1" applyAlignment="1">
      <x:alignment horizontal="center" vertical="center"/>
    </x:xf>
    <x:xf numFmtId="206" fontId="8" fillId="5" borderId="0" xfId="0" applyNumberFormat="1" applyFont="1" applyFill="1" applyBorder="1" applyAlignment="1">
      <x:alignment horizontal="center" vertical="center"/>
    </x:xf>
    <x:xf numFmtId="206" fontId="8" fillId="5" borderId="1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top" wrapText="1"/>
    </x:xf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0c7c99b8654540" /><Relationship Type="http://schemas.openxmlformats.org/officeDocument/2006/relationships/theme" Target="/xl/theme/theme1.xml" Id="R35f70c7d11d64740" /><Relationship Type="http://schemas.microsoft.com/office/2022/11/relationships/FeaturePropertyBag" Target="/xl/featurePropertyBag/featurePropertyBag.xml" Id="R28d338bd6af74c45" /><Relationship Type="http://schemas.openxmlformats.org/officeDocument/2006/relationships/sharedStrings" Target="/xl/sharedStrings.xml" Id="Rd6fedde0433c4892" /><Relationship Type="http://schemas.openxmlformats.org/officeDocument/2006/relationships/worksheet" Target="/xl/worksheets/sheet1.xml" Id="R691fd59fd714467e" /><Relationship Type="http://schemas.openxmlformats.org/officeDocument/2006/relationships/worksheet" Target="/xl/worksheets/sheet2.xml" Id="R2150e7fe98f94d3c" /><Relationship Type="http://schemas.openxmlformats.org/officeDocument/2006/relationships/worksheet" Target="/xl/worksheets/sheet3.xml" Id="R7b09ff06c254408e" /><Relationship Type="http://schemas.openxmlformats.org/officeDocument/2006/relationships/worksheet" Target="/xl/worksheets/sheet4.xml" Id="Re78baf23635f49cb" /><Relationship Type="http://schemas.openxmlformats.org/officeDocument/2006/relationships/worksheet" Target="/xl/worksheets/sheet5.xml" Id="R4a2d28286ba54125" /><Relationship Type="http://schemas.openxmlformats.org/officeDocument/2006/relationships/worksheet" Target="/xl/worksheets/sheet6.xml" Id="Ra546dc5fa5454a95" /><Relationship Type="http://schemas.openxmlformats.org/officeDocument/2006/relationships/worksheet" Target="/xl/worksheets/sheet7.xml" Id="R85ccec10c06349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d6fc5ca4eba4042" /><Relationship Type="http://schemas.openxmlformats.org/officeDocument/2006/relationships/chart" Target="/xl/drawings/charts/chart2.xml" Id="R2104d23b712042e8" /><Relationship Type="http://schemas.openxmlformats.org/officeDocument/2006/relationships/chart" Target="/xl/drawings/charts/chart3.xml" Id="R28d58d5e26ae4cfa" /><Relationship Type="http://schemas.openxmlformats.org/officeDocument/2006/relationships/chart" Target="/xl/drawings/charts/chart4.xml" Id="Rca784575ad2048ec" /><Relationship Type="http://schemas.openxmlformats.org/officeDocument/2006/relationships/chart" Target="/xl/drawings/charts/chart5.xml" Id="Rc4d296eb4782462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Claims by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Claims</c:v>
          </c:tx>
          <c:cat>
            <c:strRef>
              <c:f>'Dashboard'!$N$3:$N$7</c:f>
              <c:strCache>
                <c:ptCount val="0"/>
              </c:strCache>
            </c:strRef>
          </c:cat>
          <c:val>
            <c:numRef>
              <c:f>'Dashboard'!$O$3:$O$7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Claims by Type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Claims</c:v>
          </c:tx>
          <c:cat>
            <c:strRef>
              <c:f>'Dashboard'!$Q$3:$Q$5</c:f>
              <c:strCache>
                <c:ptCount val="0"/>
              </c:strCache>
            </c:strRef>
          </c:cat>
          <c:val>
            <c:numRef>
              <c:f>'Dashboard'!$R$3:$R$5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Claims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Claims</c:v>
          </c:tx>
          <c:cat>
            <c:strRef>
              <c:f>'Dashboard'!$N$17:$N$113</c:f>
              <c:strCache>
                <c:ptCount val="0"/>
              </c:strCache>
            </c:strRef>
          </c:cat>
          <c:val>
            <c:numRef>
              <c:f>'Dashboard'!$O$17:$O$113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2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SLA Performance by Claim Type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Carrier</c:v>
          </c:tx>
          <c:cat>
            <c:strRef>
              <c:f>'Dashboard'!$N$11:$N$12</c:f>
              <c:strCache>
                <c:ptCount val="0"/>
              </c:strCache>
            </c:strRef>
          </c:cat>
          <c:val>
            <c:numRef>
              <c:f>'Dashboard'!$O$11:$O$12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Inpatient</c:v>
          </c:tx>
          <c:cat>
            <c:strRef>
              <c:f>'Dashboard'!$N$11:$N$12</c:f>
              <c:strCache>
                <c:ptCount val="0"/>
              </c:strCache>
            </c:strRef>
          </c:cat>
          <c:val>
            <c:numRef>
              <c:f>'Dashboard'!$P$11:$P$12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Outpatient</c:v>
          </c:tx>
          <c:cat>
            <c:strRef>
              <c:f>'Dashboard'!$N$11:$N$12</c:f>
              <c:strCache>
                <c:ptCount val="0"/>
              </c:strCache>
            </c:strRef>
          </c:cat>
          <c:val>
            <c:numRef>
              <c:f>'Dashboard'!$Q$11:$Q$12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Financial Funnel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Amount</c:v>
          </c:tx>
          <c:cat>
            <c:strRef>
              <c:f>'Dashboard'!$T$3:$T$5</c:f>
              <c:strCache>
                <c:ptCount val="0"/>
              </c:strCache>
            </c:strRef>
          </c:cat>
          <c:val>
            <c:numRef>
              <c:f>'Dashboard'!$U$3:$U$5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6fc5ca4eba4042"/>
        </a:graphicData>
      </a:graphic>
    </xdr:graphicFrame>
    <xdr:clientData/>
  </xdr:twoCellAnchor>
  <xdr:twoCellAnchor>
    <xdr:from>
      <xdr:col>6</xdr:col>
      <xdr:colOff>0</xdr:colOff>
      <xdr:row>12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04d23b712042e8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6</xdr:col>
      <xdr:colOff>0</xdr:colOff>
      <xdr:row>47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d58d5e26ae4cfa"/>
        </a:graphicData>
      </a:graphic>
    </xdr:graphicFrame>
    <xdr:clientData/>
  </xdr:twoCellAnchor>
  <xdr:twoCellAnchor>
    <xdr:from>
      <xdr:col>6</xdr:col>
      <xdr:colOff>0</xdr:colOff>
      <xdr:row>30</xdr:row>
      <xdr:rowOff>0</xdr:rowOff>
    </xdr:from>
    <xdr:to>
      <xdr:col>12</xdr:col>
      <xdr:colOff>0</xdr:colOff>
      <xdr:row>47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784575ad2048ec"/>
        </a:graphicData>
      </a:graphic>
    </xdr:graphicFrame>
    <xdr:clientData/>
  </xdr:twoCellAnchor>
  <xdr:twoCellAnchor>
    <xdr:from>
      <xdr:col>0</xdr:col>
      <xdr:colOff>0</xdr:colOff>
      <xdr:row>48</xdr:row>
      <xdr:rowOff>0</xdr:rowOff>
    </xdr:from>
    <xdr:to>
      <xdr:col>6</xdr:col>
      <xdr:colOff>0</xdr:colOff>
      <xdr:row>64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d296eb47824625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atusSummaryTable" displayName="StatusSummaryTable" ref="A3:F9" headerRowCount="1">
  <x:tableColumns count="6">
    <x:tableColumn id="1" name="Claim Status"/>
    <x:tableColumn id="2" name="Total Claims"/>
    <x:tableColumn id="3" name="Claim %"/>
    <x:tableColumn id="4" name="Claimed Amount"/>
    <x:tableColumn id="5" name="Approved Amount"/>
    <x:tableColumn id="6" name="Paid Amount"/>
  </x:tableColumns>
  <x:tableStyleInfo name="TableStyleMedium2" showRowStripes="1"/>
</x:table>
</file>

<file path=xl/tables/table2.xml><?xml version="1.0" encoding="utf-8"?>
<x:table xmlns:x="http://schemas.openxmlformats.org/spreadsheetml/2006/main" id="2" name="ClaimTypeSummaryTable" displayName="ClaimTypeSummaryTable" ref="H3:M7" headerRowCount="1">
  <x:tableColumns count="6">
    <x:tableColumn id="1" name="Claim Type"/>
    <x:tableColumn id="2" name="Total Claims"/>
    <x:tableColumn id="3" name="Claimed Amount"/>
    <x:tableColumn id="4" name="Approved Amount"/>
    <x:tableColumn id="5" name="Paid Amount"/>
    <x:tableColumn id="6" name="Avg Turnaround Days"/>
  </x:tableColumns>
  <x:tableStyleInfo name="TableStyleMedium2" showRowStripes="1"/>
</x:table>
</file>

<file path=xl/tables/table3.xml><?xml version="1.0" encoding="utf-8"?>
<x:table xmlns:x="http://schemas.openxmlformats.org/spreadsheetml/2006/main" id="3" name="MonthlyClaimsTable" displayName="MonthlyClaimsTable" ref="A12:D109" headerRowCount="1">
  <x:tableColumns count="4">
    <x:tableColumn id="1" name="Claim Month"/>
    <x:tableColumn id="2" name="Total Claims"/>
    <x:tableColumn id="3" name="Claimed Amount"/>
    <x:tableColumn id="4" name="Paid Amount"/>
  </x:tableColumns>
  <x:tableStyleInfo name="TableStyleMedium2" showRowStripes="1"/>
</x:table>
</file>

<file path=xl/tables/table4.xml><?xml version="1.0" encoding="utf-8"?>
<x:table xmlns:x="http://schemas.openxmlformats.org/spreadsheetml/2006/main" id="4" name="SlaSummaryTable" displayName="SlaSummaryTable" ref="F12:J15" headerRowCount="1">
  <x:tableColumns count="5">
    <x:tableColumn id="1" name="SLA Status"/>
    <x:tableColumn id="2" name="Carrier"/>
    <x:tableColumn id="3" name="Inpatient"/>
    <x:tableColumn id="4" name="Outpatient"/>
    <x:tableColumn id="5" name="Grand Total"/>
  </x:tableColumns>
  <x:tableStyleInfo name="TableStyleMedium2" showRowStripes="1"/>
</x:table>
</file>

<file path=xl/tables/table5.xml><?xml version="1.0" encoding="utf-8"?>
<x:table xmlns:x="http://schemas.openxmlformats.org/spreadsheetml/2006/main" id="5" name="PlanLookupTable" displayName="PlanLookupTable" ref="A3:E6" headerRowCount="1">
  <x:tableColumns count="5">
    <x:tableColumn id="1" name="PLAN_ID"/>
    <x:tableColumn id="2" name="PLAN_NAME"/>
    <x:tableColumn id="3" name="DEDUCTIBLE_RATE"/>
    <x:tableColumn id="4" name="COPAY_RATE"/>
    <x:tableColumn id="5" name="COVERAGE_TIER"/>
  </x:tableColumns>
  <x:tableStyleInfo name="TableStyleMedium2" showRowStripes="1"/>
</x:table>
</file>

<file path=xl/tables/table6.xml><?xml version="1.0" encoding="utf-8"?>
<x:table xmlns:x="http://schemas.openxmlformats.org/spreadsheetml/2006/main" id="6" name="ClaimStatusLookupTable" displayName="ClaimStatusLookupTable" ref="G3:J8" headerRowCount="1">
  <x:tableColumns count="4">
    <x:tableColumn id="1" name="CLAIM_STATUS"/>
    <x:tableColumn id="2" name="STATUS_GROUP"/>
    <x:tableColumn id="3" name="STATUS_SORT_ORDER"/>
    <x:tableColumn id="4" name="IS_OPEN"/>
  </x:tableColumns>
  <x:tableStyleInfo name="TableStyleMedium2" showRowStripes="1"/>
</x:table>
</file>

<file path=xl/tables/table7.xml><?xml version="1.0" encoding="utf-8"?>
<x:table xmlns:x="http://schemas.openxmlformats.org/spreadsheetml/2006/main" id="7" name="DenialReasonLookupTable" displayName="DenialReasonLookupTable" ref="L3:N8" headerRowCount="1">
  <x:tableColumns count="3">
    <x:tableColumn id="1" name="DENIAL_REASON"/>
    <x:tableColumn id="2" name="DENIAL_DESCRIPTION"/>
    <x:tableColumn id="3" name="BUSINESS_OWN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45d0d49c8247c6" /><Relationship Type="http://schemas.openxmlformats.org/officeDocument/2006/relationships/table" Target="/xl/tables/table2.xml" Id="R84728cf0d5cd4ede" /><Relationship Type="http://schemas.openxmlformats.org/officeDocument/2006/relationships/table" Target="/xl/tables/table3.xml" Id="R5ca32ebd529545b2" /><Relationship Type="http://schemas.openxmlformats.org/officeDocument/2006/relationships/table" Target="/xl/tables/table4.xml" Id="R0f57cff9b2ad49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4535fe0c50e24110" /><Relationship Type="http://schemas.openxmlformats.org/officeDocument/2006/relationships/table" Target="/xl/tables/table6.xml" Id="R904138a7d4d743be" /><Relationship Type="http://schemas.openxmlformats.org/officeDocument/2006/relationships/table" Target="/xl/tables/table7.xml" Id="R5aa022eafd3f47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d7e5449ed9d2478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5" t="str">
        <x:v>Health Insurance Claims Intelligence — Excel Analysis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3" t="str">
        <x:v>Workbook purpose</x:v>
      </x:c>
      <x:c r="B4" s="18" t="str">
        <x:v>Presentation-ready Excel analysis of 514,225 synthetic health-insurance claims.</x:v>
      </x:c>
    </x:row>
    <x:row r="5">
      <x:c r="A5" s="13" t="str">
        <x:v>Data source</x:v>
      </x:c>
      <x:c r="B5" s="18" t="str">
        <x:v>CMS synthetic Medicare claims enriched with project-generated adjudication and operations fields.</x:v>
      </x:c>
    </x:row>
    <x:row r="6">
      <x:c r="A6" s="13" t="str">
        <x:v>Primary grain</x:v>
      </x:c>
      <x:c r="B6" s="18" t="str">
        <x:v>One row per unique claim in the analytical claim-header layer.</x:v>
      </x:c>
    </x:row>
    <x:row r="7">
      <x:c r="A7" s="13" t="str">
        <x:v>Main outputs</x:v>
      </x:c>
      <x:c r="B7" s="18" t="str">
        <x:v>Executive dashboard, claims EDA, data-quality checks, lookup tables and KPI definitions.</x:v>
      </x:c>
    </x:row>
    <x:row r="8">
      <x:c r="A8" s="13" t="str">
        <x:v>Financial rule</x:v>
      </x:c>
      <x:c r="B8" s="18" t="str">
        <x:v>Billed Amount ≥ Eligible Amount ≥ Approved Amount ≥ Paid Amount.</x:v>
      </x:c>
    </x:row>
    <x:row r="9">
      <x:c r="A9" s="13" t="str">
        <x:v>Governance</x:v>
      </x:c>
      <x:c r="B9" s="18" t="str">
        <x:v>Synthetic workflow outcomes support analysis and human review; they do not represent real insurance decisions.</x:v>
      </x:c>
    </x:row>
    <x:row r="10">
      <x:c r="A10" s="13" t="str">
        <x:v>Refresh note</x:v>
      </x:c>
      <x:c r="B10" s="18" t="str">
        <x:v>This completed copy consolidates the validated full-data outputs from the uploaded Excel model.</x:v>
      </x:c>
    </x:row>
    <x:row r="11">
      <x:c r="A11" s="13" t="str">
        <x:v>Project status</x:v>
      </x:c>
      <x:c r="B11" s="18" t="str">
        <x:v>Day 2 Excel analysis completed.</x:v>
      </x:c>
    </x:row>
    <x:row r="12">
      <x:c r="A12" s="26"/>
      <x:c r="B12" s="26"/>
    </x:row>
    <x:row r="13">
      <x:c r="A13" s="26"/>
      <x:c r="B13" s="26"/>
    </x:row>
    <x:row r="14">
      <x:c r="A14" s="22" t="str">
        <x:v>Sheet</x:v>
      </x:c>
      <x:c r="B14" s="22" t="str">
        <x:v>Purpose</x:v>
      </x:c>
    </x:row>
    <x:row r="15">
      <x:c r="A15" s="26" t="str">
        <x:v>Dashboard</x:v>
      </x:c>
      <x:c r="B15" s="18" t="str">
        <x:v>Executive KPIs, charts and management highlights.</x:v>
      </x:c>
    </x:row>
    <x:row r="16">
      <x:c r="A16" s="26" t="str">
        <x:v>Claims EDA</x:v>
      </x:c>
      <x:c r="B16" s="18" t="str">
        <x:v>Full-data status, claim-type, monthly and SLA summaries.</x:v>
      </x:c>
    </x:row>
    <x:row r="17">
      <x:c r="A17" s="26" t="str">
        <x:v>Data Quality Checks</x:v>
      </x:c>
      <x:c r="B17" s="18" t="str">
        <x:v>Validated pass/fail controls.</x:v>
      </x:c>
    </x:row>
    <x:row r="18">
      <x:c r="A18" s="26" t="str">
        <x:v>Lookup Tables</x:v>
      </x:c>
      <x:c r="B18" s="18" t="str">
        <x:v>Plan, claim-status and denial-reason reference data.</x:v>
      </x:c>
    </x:row>
    <x:row r="19">
      <x:c r="A19" s="26" t="str">
        <x:v>KPI Dictionary</x:v>
      </x:c>
      <x:c r="B19" s="18" t="str">
        <x:v>Definitions and calculation logic.</x:v>
      </x:c>
    </x:row>
    <x:row r="20">
      <x:c r="A20" s="26" t="str">
        <x:v>Assumptions</x:v>
      </x:c>
      <x:c r="B20" s="18" t="str">
        <x:v>Scope, provenance and interpretation rules.</x:v>
      </x:c>
    </x:row>
    <x:row r="21">
      <x:c r="A21" s="26" t="str">
        <x:v>README</x:v>
      </x:c>
      <x:c r="B21" s="18" t="str">
        <x:v>Workbook purpose and navigation.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16" hidden="0" customWidth="1"/>
    <x:col min="9" max="9" width="14" hidden="0" customWidth="1"/>
    <x:col min="10" max="10" width="18" hidden="0" customWidth="1"/>
    <x:col min="11" max="11" width="18" hidden="0" customWidth="1"/>
    <x:col min="12" max="12" width="18" hidden="0" customWidth="1"/>
    <x:col min="13" max="13" width="20" hidden="0" customWidth="1"/>
  </x:cols>
  <x:sheetData>
    <x:row r="1">
      <x:c r="A1" s="29" t="str">
        <x:v>Claims Exploratory Analysis — Full 514,225 Claims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</x:row>
    <x:row r="3">
      <x:c r="A3" s="22" t="str">
        <x:v>Claim Status</x:v>
      </x:c>
      <x:c r="B3" s="22" t="str">
        <x:v>Total Claims</x:v>
      </x:c>
      <x:c r="C3" s="22" t="str">
        <x:v>Claim %</x:v>
      </x:c>
      <x:c r="D3" s="22" t="str">
        <x:v>Claimed Amount</x:v>
      </x:c>
      <x:c r="E3" s="22" t="str">
        <x:v>Approved Amount</x:v>
      </x:c>
      <x:c r="F3" s="22" t="str">
        <x:v>Paid Amount</x:v>
      </x:c>
      <x:c r="H3" s="22" t="str">
        <x:v>Claim Type</x:v>
      </x:c>
      <x:c r="I3" s="22" t="str">
        <x:v>Total Claims</x:v>
      </x:c>
      <x:c r="J3" s="22" t="str">
        <x:v>Claimed Amount</x:v>
      </x:c>
      <x:c r="K3" s="22" t="str">
        <x:v>Approved Amount</x:v>
      </x:c>
      <x:c r="L3" s="22" t="str">
        <x:v>Paid Amount</x:v>
      </x:c>
      <x:c r="M3" s="22" t="str">
        <x:v>Avg Turnaround Days</x:v>
      </x:c>
    </x:row>
    <x:row r="4">
      <x:c r="A4" s="26" t="str">
        <x:v>APPROVED</x:v>
      </x:c>
      <x:c r="B4" s="41" t="n">
        <x:v>343974</x:v>
      </x:c>
      <x:c r="C4" s="45" t="n">
        <x:v>0.6689173027371287</x:v>
      </x:c>
      <x:c r="D4" s="49" t="n">
        <x:v>426711378.33</x:v>
      </x:c>
      <x:c r="E4" s="49" t="n">
        <x:v>302464062.19</x:v>
      </x:c>
      <x:c r="F4" s="49" t="n">
        <x:v>269264755.28</x:v>
      </x:c>
      <x:c r="H4" s="26" t="str">
        <x:v>CARRIER</x:v>
      </x:c>
      <x:c r="I4" s="41" t="n">
        <x:v>90705</x:v>
      </x:c>
      <x:c r="J4" s="49" t="n">
        <x:v>163000787.18</x:v>
      </x:c>
      <x:c r="K4" s="49" t="n">
        <x:v>65131378.28</x:v>
      </x:c>
      <x:c r="L4" s="49" t="n">
        <x:v>57950309.12</x:v>
      </x:c>
      <x:c r="M4" s="53" t="n">
        <x:v>194.67259798247065</x:v>
      </x:c>
    </x:row>
    <x:row r="5">
      <x:c r="A5" s="26" t="str">
        <x:v>MANUAL_REVIEW</x:v>
      </x:c>
      <x:c r="B5" s="41" t="n">
        <x:v>27097</x:v>
      </x:c>
      <x:c r="C5" s="45" t="n">
        <x:v>0.052694832028781176</x:v>
      </x:c>
      <x:c r="D5" s="49" t="n">
        <x:v>360507549.71</x:v>
      </x:c>
      <x:c r="E5" s="49" t="n">
        <x:v>0</x:v>
      </x:c>
      <x:c r="F5" s="49" t="n">
        <x:v>0</x:v>
      </x:c>
      <x:c r="H5" s="26" t="str">
        <x:v>INPATIENT</x:v>
      </x:c>
      <x:c r="I5" s="41" t="n">
        <x:v>20867</x:v>
      </x:c>
      <x:c r="J5" s="49" t="n">
        <x:v>141046614.08</x:v>
      </x:c>
      <x:c r="K5" s="49" t="n">
        <x:v>41193605.86</x:v>
      </x:c>
      <x:c r="L5" s="49" t="n">
        <x:v>36323555.56</x:v>
      </x:c>
      <x:c r="M5" s="53" t="n">
        <x:v>217.65768917429435</x:v>
      </x:c>
    </x:row>
    <x:row r="6">
      <x:c r="A6" s="26" t="str">
        <x:v>PARTIALLY_APPROVED</x:v>
      </x:c>
      <x:c r="B6" s="41" t="n">
        <x:v>60171</x:v>
      </x:c>
      <x:c r="C6" s="45" t="n">
        <x:v>0.11701298069911031</x:v>
      </x:c>
      <x:c r="D6" s="49" t="n">
        <x:v>75007686.1</x:v>
      </x:c>
      <x:c r="E6" s="49" t="n">
        <x:v>41676203.13</x:v>
      </x:c>
      <x:c r="F6" s="49" t="n">
        <x:v>36907930.88</x:v>
      </x:c>
      <x:c r="H6" s="26" t="str">
        <x:v>OUTPATIENT</x:v>
      </x:c>
      <x:c r="I6" s="41" t="n">
        <x:v>402653</x:v>
      </x:c>
      <x:c r="J6" s="49" t="n">
        <x:v>730871561.85</x:v>
      </x:c>
      <x:c r="K6" s="49" t="n">
        <x:v>237815281.18</x:v>
      </x:c>
      <x:c r="L6" s="49" t="n">
        <x:v>211898821.48</x:v>
      </x:c>
      <x:c r="M6" s="53" t="n">
        <x:v>190.82292693708976</x:v>
      </x:c>
    </x:row>
    <x:row r="7">
      <x:c r="A7" s="26" t="str">
        <x:v>PENDING</x:v>
      </x:c>
      <x:c r="B7" s="41" t="n">
        <x:v>44311</x:v>
      </x:c>
      <x:c r="C7" s="45" t="n">
        <x:v>0.08617045067820507</x:v>
      </x:c>
      <x:c r="D7" s="49" t="n">
        <x:v>92013186.8</x:v>
      </x:c>
      <x:c r="E7" s="49" t="n">
        <x:v>0</x:v>
      </x:c>
      <x:c r="F7" s="49" t="n">
        <x:v>0</x:v>
      </x:c>
      <x:c r="H7" s="36" t="str">
        <x:v>Grand Total</x:v>
      </x:c>
      <x:c r="I7" s="42" t="n">
        <x:v>514225</x:v>
      </x:c>
      <x:c r="J7" s="50" t="n">
        <x:v>1034918963.11</x:v>
      </x:c>
      <x:c r="K7" s="50" t="n">
        <x:v>344140265.32</x:v>
      </x:c>
      <x:c r="L7" s="50" t="n">
        <x:v>306172686.16</x:v>
      </x:c>
      <x:c r="M7" s="54" t="n">
        <x:v>192.59091837230784</x:v>
      </x:c>
    </x:row>
    <x:row r="8">
      <x:c r="A8" s="26" t="str">
        <x:v>REJECTED</x:v>
      </x:c>
      <x:c r="B8" s="41" t="n">
        <x:v>38672</x:v>
      </x:c>
      <x:c r="C8" s="45" t="n">
        <x:v>0.07520443385677476</x:v>
      </x:c>
      <x:c r="D8" s="49" t="n">
        <x:v>80679162.17</x:v>
      </x:c>
      <x:c r="E8" s="49" t="n">
        <x:v>0</x:v>
      </x:c>
      <x:c r="F8" s="49" t="n">
        <x:v>0</x:v>
      </x:c>
    </x:row>
    <x:row r="9">
      <x:c r="A9" s="36" t="str">
        <x:v>Grand Total</x:v>
      </x:c>
      <x:c r="B9" s="42" t="n">
        <x:v>514225</x:v>
      </x:c>
      <x:c r="C9" s="46" t="n">
        <x:v>1</x:v>
      </x:c>
      <x:c r="D9" s="50" t="n">
        <x:v>1034918963.11</x:v>
      </x:c>
      <x:c r="E9" s="50" t="n">
        <x:v>344140265.32</x:v>
      </x:c>
      <x:c r="F9" s="50" t="n">
        <x:v>306172686.16</x:v>
      </x:c>
    </x:row>
    <x:row r="12">
      <x:c r="A12" s="22" t="str">
        <x:v>Claim Month</x:v>
      </x:c>
      <x:c r="B12" s="22" t="str">
        <x:v>Total Claims</x:v>
      </x:c>
      <x:c r="C12" s="22" t="str">
        <x:v>Claimed Amount</x:v>
      </x:c>
      <x:c r="D12" s="22" t="str">
        <x:v>Paid Amount</x:v>
      </x:c>
      <x:c r="F12" s="22" t="str">
        <x:v>SLA Status</x:v>
      </x:c>
      <x:c r="G12" s="22" t="str">
        <x:v>Carrier</x:v>
      </x:c>
      <x:c r="H12" s="22" t="str">
        <x:v>Inpatient</x:v>
      </x:c>
      <x:c r="I12" s="22" t="str">
        <x:v>Outpatient</x:v>
      </x:c>
      <x:c r="J12" s="22" t="str">
        <x:v>Grand Total</x:v>
      </x:c>
    </x:row>
    <x:row r="13">
      <x:c r="A13" s="57" t="n">
        <x:v>42064</x:v>
      </x:c>
      <x:c r="B13" s="41" t="n">
        <x:v>2354</x:v>
      </x:c>
      <x:c r="C13" s="49" t="n">
        <x:v>5465410.24</x:v>
      </x:c>
      <x:c r="D13" s="49" t="n">
        <x:v>1460028.58</x:v>
      </x:c>
      <x:c r="F13" s="26" t="str">
        <x:v>BREACHED</x:v>
      </x:c>
      <x:c r="G13" s="41" t="n">
        <x:v>51556</x:v>
      </x:c>
      <x:c r="H13" s="41" t="n">
        <x:v>3452</x:v>
      </x:c>
      <x:c r="I13" s="41" t="n">
        <x:v>154836</x:v>
      </x:c>
      <x:c r="J13" s="41" t="n">
        <x:v>209844</x:v>
      </x:c>
    </x:row>
    <x:row r="14">
      <x:c r="A14" s="57" t="n">
        <x:v>42095</x:v>
      </x:c>
      <x:c r="B14" s="41" t="n">
        <x:v>3710</x:v>
      </x:c>
      <x:c r="C14" s="49" t="n">
        <x:v>7943386.93</x:v>
      </x:c>
      <x:c r="D14" s="49" t="n">
        <x:v>2204765.11</x:v>
      </x:c>
      <x:c r="F14" s="26" t="str">
        <x:v>WITHIN_SLA</x:v>
      </x:c>
      <x:c r="G14" s="41" t="n">
        <x:v>39149</x:v>
      </x:c>
      <x:c r="H14" s="41" t="n">
        <x:v>17415</x:v>
      </x:c>
      <x:c r="I14" s="41" t="n">
        <x:v>247817</x:v>
      </x:c>
      <x:c r="J14" s="41" t="n">
        <x:v>304381</x:v>
      </x:c>
    </x:row>
    <x:row r="15">
      <x:c r="A15" s="57" t="n">
        <x:v>42125</x:v>
      </x:c>
      <x:c r="B15" s="41" t="n">
        <x:v>4000</x:v>
      </x:c>
      <x:c r="C15" s="49" t="n">
        <x:v>7686472.86</x:v>
      </x:c>
      <x:c r="D15" s="49" t="n">
        <x:v>2440700.12</x:v>
      </x:c>
      <x:c r="F15" s="36" t="str">
        <x:v>Grand Total</x:v>
      </x:c>
      <x:c r="G15" s="42" t="n">
        <x:v>90705</x:v>
      </x:c>
      <x:c r="H15" s="42" t="n">
        <x:v>20867</x:v>
      </x:c>
      <x:c r="I15" s="42" t="n">
        <x:v>402653</x:v>
      </x:c>
      <x:c r="J15" s="42" t="n">
        <x:v>514225</x:v>
      </x:c>
    </x:row>
    <x:row r="16">
      <x:c r="A16" s="57" t="n">
        <x:v>42156</x:v>
      </x:c>
      <x:c r="B16" s="41" t="n">
        <x:v>3770</x:v>
      </x:c>
      <x:c r="C16" s="49" t="n">
        <x:v>7585875.62</x:v>
      </x:c>
      <x:c r="D16" s="49" t="n">
        <x:v>2296486.66</x:v>
      </x:c>
    </x:row>
    <x:row r="17">
      <x:c r="A17" s="57" t="n">
        <x:v>42186</x:v>
      </x:c>
      <x:c r="B17" s="41" t="n">
        <x:v>3919</x:v>
      </x:c>
      <x:c r="C17" s="49" t="n">
        <x:v>7969360.39</x:v>
      </x:c>
      <x:c r="D17" s="49" t="n">
        <x:v>2359212.39</x:v>
      </x:c>
    </x:row>
    <x:row r="18">
      <x:c r="A18" s="57" t="n">
        <x:v>42217</x:v>
      </x:c>
      <x:c r="B18" s="41" t="n">
        <x:v>3860</x:v>
      </x:c>
      <x:c r="C18" s="49" t="n">
        <x:v>7120277.1</x:v>
      </x:c>
      <x:c r="D18" s="49" t="n">
        <x:v>2426213.12</x:v>
      </x:c>
    </x:row>
    <x:row r="19">
      <x:c r="A19" s="57" t="n">
        <x:v>42248</x:v>
      </x:c>
      <x:c r="B19" s="41" t="n">
        <x:v>3798</x:v>
      </x:c>
      <x:c r="C19" s="49" t="n">
        <x:v>10248925.76</x:v>
      </x:c>
      <x:c r="D19" s="49" t="n">
        <x:v>2339069.12</x:v>
      </x:c>
    </x:row>
    <x:row r="20">
      <x:c r="A20" s="57" t="n">
        <x:v>42278</x:v>
      </x:c>
      <x:c r="B20" s="41" t="n">
        <x:v>3940</x:v>
      </x:c>
      <x:c r="C20" s="49" t="n">
        <x:v>12512928.55</x:v>
      </x:c>
      <x:c r="D20" s="49" t="n">
        <x:v>2501745.03</x:v>
      </x:c>
    </x:row>
    <x:row r="21">
      <x:c r="A21" s="57" t="n">
        <x:v>42309</x:v>
      </x:c>
      <x:c r="B21" s="41" t="n">
        <x:v>3969</x:v>
      </x:c>
      <x:c r="C21" s="49" t="n">
        <x:v>8348688.76</x:v>
      </x:c>
      <x:c r="D21" s="49" t="n">
        <x:v>2612752.52</x:v>
      </x:c>
    </x:row>
    <x:row r="22">
      <x:c r="A22" s="57" t="n">
        <x:v>42339</x:v>
      </x:c>
      <x:c r="B22" s="41" t="n">
        <x:v>3898</x:v>
      </x:c>
      <x:c r="C22" s="49" t="n">
        <x:v>8192781.73</x:v>
      </x:c>
      <x:c r="D22" s="49" t="n">
        <x:v>2499294.35</x:v>
      </x:c>
    </x:row>
    <x:row r="23">
      <x:c r="A23" s="57" t="n">
        <x:v>42370</x:v>
      </x:c>
      <x:c r="B23" s="41" t="n">
        <x:v>3977</x:v>
      </x:c>
      <x:c r="C23" s="49" t="n">
        <x:v>8169197.13</x:v>
      </x:c>
      <x:c r="D23" s="49" t="n">
        <x:v>2472246.87</x:v>
      </x:c>
    </x:row>
    <x:row r="24">
      <x:c r="A24" s="57" t="n">
        <x:v>42401</x:v>
      </x:c>
      <x:c r="B24" s="41" t="n">
        <x:v>3819</x:v>
      </x:c>
      <x:c r="C24" s="49" t="n">
        <x:v>7722464.8</x:v>
      </x:c>
      <x:c r="D24" s="49" t="n">
        <x:v>2358414.52</x:v>
      </x:c>
    </x:row>
    <x:row r="25">
      <x:c r="A25" s="57" t="n">
        <x:v>42430</x:v>
      </x:c>
      <x:c r="B25" s="41" t="n">
        <x:v>4195</x:v>
      </x:c>
      <x:c r="C25" s="49" t="n">
        <x:v>8522308.92</x:v>
      </x:c>
      <x:c r="D25" s="49" t="n">
        <x:v>2617642.99</x:v>
      </x:c>
    </x:row>
    <x:row r="26">
      <x:c r="A26" s="57" t="n">
        <x:v>42461</x:v>
      </x:c>
      <x:c r="B26" s="41" t="n">
        <x:v>3952</x:v>
      </x:c>
      <x:c r="C26" s="49" t="n">
        <x:v>7712969.1</x:v>
      </x:c>
      <x:c r="D26" s="49" t="n">
        <x:v>2388602.51</x:v>
      </x:c>
    </x:row>
    <x:row r="27">
      <x:c r="A27" s="57" t="n">
        <x:v>42491</x:v>
      </x:c>
      <x:c r="B27" s="41" t="n">
        <x:v>4250</x:v>
      </x:c>
      <x:c r="C27" s="49" t="n">
        <x:v>7948415.91</x:v>
      </x:c>
      <x:c r="D27" s="49" t="n">
        <x:v>2549546.51</x:v>
      </x:c>
    </x:row>
    <x:row r="28">
      <x:c r="A28" s="57" t="n">
        <x:v>42522</x:v>
      </x:c>
      <x:c r="B28" s="41" t="n">
        <x:v>3979</x:v>
      </x:c>
      <x:c r="C28" s="49" t="n">
        <x:v>8275388.8</x:v>
      </x:c>
      <x:c r="D28" s="49" t="n">
        <x:v>2355590.33</x:v>
      </x:c>
    </x:row>
    <x:row r="29">
      <x:c r="A29" s="57" t="n">
        <x:v>42552</x:v>
      </x:c>
      <x:c r="B29" s="41" t="n">
        <x:v>4260</x:v>
      </x:c>
      <x:c r="C29" s="49" t="n">
        <x:v>8356780.49</x:v>
      </x:c>
      <x:c r="D29" s="49" t="n">
        <x:v>2737931.96</x:v>
      </x:c>
    </x:row>
    <x:row r="30">
      <x:c r="A30" s="57" t="n">
        <x:v>42583</x:v>
      </x:c>
      <x:c r="B30" s="41" t="n">
        <x:v>4201</x:v>
      </x:c>
      <x:c r="C30" s="49" t="n">
        <x:v>7814959.76</x:v>
      </x:c>
      <x:c r="D30" s="49" t="n">
        <x:v>2577611.34</x:v>
      </x:c>
    </x:row>
    <x:row r="31">
      <x:c r="A31" s="57" t="n">
        <x:v>42614</x:v>
      </x:c>
      <x:c r="B31" s="41" t="n">
        <x:v>4055</x:v>
      </x:c>
      <x:c r="C31" s="49" t="n">
        <x:v>7745451.77</x:v>
      </x:c>
      <x:c r="D31" s="49" t="n">
        <x:v>2548821.15</x:v>
      </x:c>
    </x:row>
    <x:row r="32">
      <x:c r="A32" s="57" t="n">
        <x:v>42644</x:v>
      </x:c>
      <x:c r="B32" s="41" t="n">
        <x:v>4122</x:v>
      </x:c>
      <x:c r="C32" s="49" t="n">
        <x:v>9774362.85</x:v>
      </x:c>
      <x:c r="D32" s="49" t="n">
        <x:v>2547325.03</x:v>
      </x:c>
    </x:row>
    <x:row r="33">
      <x:c r="A33" s="57" t="n">
        <x:v>42675</x:v>
      </x:c>
      <x:c r="B33" s="41" t="n">
        <x:v>4101</x:v>
      </x:c>
      <x:c r="C33" s="49" t="n">
        <x:v>12478167.63</x:v>
      </x:c>
      <x:c r="D33" s="49" t="n">
        <x:v>2443813.6</x:v>
      </x:c>
    </x:row>
    <x:row r="34">
      <x:c r="A34" s="57" t="n">
        <x:v>42705</x:v>
      </x:c>
      <x:c r="B34" s="41" t="n">
        <x:v>4314</x:v>
      </x:c>
      <x:c r="C34" s="49" t="n">
        <x:v>8737146.27</x:v>
      </x:c>
      <x:c r="D34" s="49" t="n">
        <x:v>2810796.84</x:v>
      </x:c>
    </x:row>
    <x:row r="35">
      <x:c r="A35" s="57" t="n">
        <x:v>42736</x:v>
      </x:c>
      <x:c r="B35" s="41" t="n">
        <x:v>4270</x:v>
      </x:c>
      <x:c r="C35" s="49" t="n">
        <x:v>8098488.98</x:v>
      </x:c>
      <x:c r="D35" s="49" t="n">
        <x:v>2554558.36</x:v>
      </x:c>
    </x:row>
    <x:row r="36">
      <x:c r="A36" s="57" t="n">
        <x:v>42767</x:v>
      </x:c>
      <x:c r="B36" s="41" t="n">
        <x:v>3856</x:v>
      </x:c>
      <x:c r="C36" s="49" t="n">
        <x:v>6944902.97</x:v>
      </x:c>
      <x:c r="D36" s="49" t="n">
        <x:v>2346922.52</x:v>
      </x:c>
    </x:row>
    <x:row r="37">
      <x:c r="A37" s="57" t="n">
        <x:v>42795</x:v>
      </x:c>
      <x:c r="B37" s="41" t="n">
        <x:v>4592</x:v>
      </x:c>
      <x:c r="C37" s="49" t="n">
        <x:v>8906394.3</x:v>
      </x:c>
      <x:c r="D37" s="49" t="n">
        <x:v>2849844.55</x:v>
      </x:c>
    </x:row>
    <x:row r="38">
      <x:c r="A38" s="57" t="n">
        <x:v>42826</x:v>
      </x:c>
      <x:c r="B38" s="41" t="n">
        <x:v>4162</x:v>
      </x:c>
      <x:c r="C38" s="49" t="n">
        <x:v>11010553.3</x:v>
      </x:c>
      <x:c r="D38" s="49" t="n">
        <x:v>2609344.94</x:v>
      </x:c>
    </x:row>
    <x:row r="39">
      <x:c r="A39" s="57" t="n">
        <x:v>42856</x:v>
      </x:c>
      <x:c r="B39" s="41" t="n">
        <x:v>4447</x:v>
      </x:c>
      <x:c r="C39" s="49" t="n">
        <x:v>13695893.96</x:v>
      </x:c>
      <x:c r="D39" s="49" t="n">
        <x:v>2648899.94</x:v>
      </x:c>
    </x:row>
    <x:row r="40">
      <x:c r="A40" s="57" t="n">
        <x:v>42887</x:v>
      </x:c>
      <x:c r="B40" s="41" t="n">
        <x:v>4285</x:v>
      </x:c>
      <x:c r="C40" s="49" t="n">
        <x:v>10307911.86</x:v>
      </x:c>
      <x:c r="D40" s="49" t="n">
        <x:v>2548514.23</x:v>
      </x:c>
    </x:row>
    <x:row r="41">
      <x:c r="A41" s="57" t="n">
        <x:v>42917</x:v>
      </x:c>
      <x:c r="B41" s="41" t="n">
        <x:v>4376</x:v>
      </x:c>
      <x:c r="C41" s="49" t="n">
        <x:v>8249415.97</x:v>
      </x:c>
      <x:c r="D41" s="49" t="n">
        <x:v>2548414.88</x:v>
      </x:c>
    </x:row>
    <x:row r="42">
      <x:c r="A42" s="57" t="n">
        <x:v>42948</x:v>
      </x:c>
      <x:c r="B42" s="41" t="n">
        <x:v>4509</x:v>
      </x:c>
      <x:c r="C42" s="49" t="n">
        <x:v>8849310.73</x:v>
      </x:c>
      <x:c r="D42" s="49" t="n">
        <x:v>2914511.9</x:v>
      </x:c>
    </x:row>
    <x:row r="43">
      <x:c r="A43" s="57" t="n">
        <x:v>42979</x:v>
      </x:c>
      <x:c r="B43" s="41" t="n">
        <x:v>4361</x:v>
      </x:c>
      <x:c r="C43" s="49" t="n">
        <x:v>11684208.25</x:v>
      </x:c>
      <x:c r="D43" s="49" t="n">
        <x:v>2633463.06</x:v>
      </x:c>
    </x:row>
    <x:row r="44">
      <x:c r="A44" s="57" t="n">
        <x:v>43009</x:v>
      </x:c>
      <x:c r="B44" s="41" t="n">
        <x:v>4487</x:v>
      </x:c>
      <x:c r="C44" s="49" t="n">
        <x:v>13577386.18</x:v>
      </x:c>
      <x:c r="D44" s="49" t="n">
        <x:v>2646902.9</x:v>
      </x:c>
    </x:row>
    <x:row r="45">
      <x:c r="A45" s="57" t="n">
        <x:v>43040</x:v>
      </x:c>
      <x:c r="B45" s="41" t="n">
        <x:v>4375</x:v>
      </x:c>
      <x:c r="C45" s="49" t="n">
        <x:v>8283612.58</x:v>
      </x:c>
      <x:c r="D45" s="49" t="n">
        <x:v>2762673.31</x:v>
      </x:c>
    </x:row>
    <x:row r="46">
      <x:c r="A46" s="57" t="n">
        <x:v>43070</x:v>
      </x:c>
      <x:c r="B46" s="41" t="n">
        <x:v>4659</x:v>
      </x:c>
      <x:c r="C46" s="49" t="n">
        <x:v>8671436.36</x:v>
      </x:c>
      <x:c r="D46" s="49" t="n">
        <x:v>2864695.23</x:v>
      </x:c>
    </x:row>
    <x:row r="47">
      <x:c r="A47" s="57" t="n">
        <x:v>43101</x:v>
      </x:c>
      <x:c r="B47" s="41" t="n">
        <x:v>4704</x:v>
      </x:c>
      <x:c r="C47" s="49" t="n">
        <x:v>8458566.76</x:v>
      </x:c>
      <x:c r="D47" s="49" t="n">
        <x:v>2698135.17</x:v>
      </x:c>
    </x:row>
    <x:row r="48">
      <x:c r="A48" s="57" t="n">
        <x:v>43132</x:v>
      </x:c>
      <x:c r="B48" s="41" t="n">
        <x:v>4123</x:v>
      </x:c>
      <x:c r="C48" s="49" t="n">
        <x:v>7325230.74</x:v>
      </x:c>
      <x:c r="D48" s="49" t="n">
        <x:v>2589109.89</x:v>
      </x:c>
    </x:row>
    <x:row r="49">
      <x:c r="A49" s="57" t="n">
        <x:v>43160</x:v>
      </x:c>
      <x:c r="B49" s="41" t="n">
        <x:v>4920</x:v>
      </x:c>
      <x:c r="C49" s="49" t="n">
        <x:v>10128190.3</x:v>
      </x:c>
      <x:c r="D49" s="49" t="n">
        <x:v>3070362.01</x:v>
      </x:c>
    </x:row>
    <x:row r="50">
      <x:c r="A50" s="57" t="n">
        <x:v>43191</x:v>
      </x:c>
      <x:c r="B50" s="41" t="n">
        <x:v>4533</x:v>
      </x:c>
      <x:c r="C50" s="49" t="n">
        <x:v>12125211.87</x:v>
      </x:c>
      <x:c r="D50" s="49" t="n">
        <x:v>2723092.35</x:v>
      </x:c>
    </x:row>
    <x:row r="51">
      <x:c r="A51" s="57" t="n">
        <x:v>43221</x:v>
      </x:c>
      <x:c r="B51" s="41" t="n">
        <x:v>4722</x:v>
      </x:c>
      <x:c r="C51" s="49" t="n">
        <x:v>10976709.19</x:v>
      </x:c>
      <x:c r="D51" s="49" t="n">
        <x:v>2953637.65</x:v>
      </x:c>
    </x:row>
    <x:row r="52">
      <x:c r="A52" s="57" t="n">
        <x:v>43252</x:v>
      </x:c>
      <x:c r="B52" s="41" t="n">
        <x:v>4581</x:v>
      </x:c>
      <x:c r="C52" s="49" t="n">
        <x:v>8592565.07</x:v>
      </x:c>
      <x:c r="D52" s="49" t="n">
        <x:v>2652016.2</x:v>
      </x:c>
    </x:row>
    <x:row r="53">
      <x:c r="A53" s="57" t="n">
        <x:v>43282</x:v>
      </x:c>
      <x:c r="B53" s="41" t="n">
        <x:v>4730</x:v>
      </x:c>
      <x:c r="C53" s="49" t="n">
        <x:v>9062705.89</x:v>
      </x:c>
      <x:c r="D53" s="49" t="n">
        <x:v>3095271.93</x:v>
      </x:c>
    </x:row>
    <x:row r="54">
      <x:c r="A54" s="57" t="n">
        <x:v>43313</x:v>
      </x:c>
      <x:c r="B54" s="41" t="n">
        <x:v>4789</x:v>
      </x:c>
      <x:c r="C54" s="49" t="n">
        <x:v>9649531.46</x:v>
      </x:c>
      <x:c r="D54" s="49" t="n">
        <x:v>3008816.15</x:v>
      </x:c>
    </x:row>
    <x:row r="55">
      <x:c r="A55" s="57" t="n">
        <x:v>43344</x:v>
      </x:c>
      <x:c r="B55" s="41" t="n">
        <x:v>4537</x:v>
      </x:c>
      <x:c r="C55" s="49" t="n">
        <x:v>8631168.61</x:v>
      </x:c>
      <x:c r="D55" s="49" t="n">
        <x:v>2748519.19</x:v>
      </x:c>
    </x:row>
    <x:row r="56">
      <x:c r="A56" s="57" t="n">
        <x:v>43374</x:v>
      </x:c>
      <x:c r="B56" s="41" t="n">
        <x:v>4762</x:v>
      </x:c>
      <x:c r="C56" s="49" t="n">
        <x:v>12501403.64</x:v>
      </x:c>
      <x:c r="D56" s="49" t="n">
        <x:v>3001437.12</x:v>
      </x:c>
    </x:row>
    <x:row r="57">
      <x:c r="A57" s="57" t="n">
        <x:v>43405</x:v>
      </x:c>
      <x:c r="B57" s="41" t="n">
        <x:v>4647</x:v>
      </x:c>
      <x:c r="C57" s="49" t="n">
        <x:v>14777214.6</x:v>
      </x:c>
      <x:c r="D57" s="49" t="n">
        <x:v>2871975.09</x:v>
      </x:c>
    </x:row>
    <x:row r="58">
      <x:c r="A58" s="57" t="n">
        <x:v>43435</x:v>
      </x:c>
      <x:c r="B58" s="41" t="n">
        <x:v>4884</x:v>
      </x:c>
      <x:c r="C58" s="49" t="n">
        <x:v>12039903.25</x:v>
      </x:c>
      <x:c r="D58" s="49" t="n">
        <x:v>2907413.86</x:v>
      </x:c>
    </x:row>
    <x:row r="59">
      <x:c r="A59" s="57" t="n">
        <x:v>43466</x:v>
      </x:c>
      <x:c r="B59" s="41" t="n">
        <x:v>4971</x:v>
      </x:c>
      <x:c r="C59" s="49" t="n">
        <x:v>9175361.78</x:v>
      </x:c>
      <x:c r="D59" s="49" t="n">
        <x:v>2971324.12</x:v>
      </x:c>
    </x:row>
    <x:row r="60">
      <x:c r="A60" s="57" t="n">
        <x:v>43497</x:v>
      </x:c>
      <x:c r="B60" s="41" t="n">
        <x:v>4453</x:v>
      </x:c>
      <x:c r="C60" s="49" t="n">
        <x:v>8249826.77</x:v>
      </x:c>
      <x:c r="D60" s="49" t="n">
        <x:v>2709463.57</x:v>
      </x:c>
    </x:row>
    <x:row r="61">
      <x:c r="A61" s="57" t="n">
        <x:v>43525</x:v>
      </x:c>
      <x:c r="B61" s="41" t="n">
        <x:v>5376</x:v>
      </x:c>
      <x:c r="C61" s="49" t="n">
        <x:v>10179282.94</x:v>
      </x:c>
      <x:c r="D61" s="49" t="n">
        <x:v>3302627.7</x:v>
      </x:c>
    </x:row>
    <x:row r="62">
      <x:c r="A62" s="57" t="n">
        <x:v>43556</x:v>
      </x:c>
      <x:c r="B62" s="41" t="n">
        <x:v>5026</x:v>
      </x:c>
      <x:c r="C62" s="49" t="n">
        <x:v>8958255</x:v>
      </x:c>
      <x:c r="D62" s="49" t="n">
        <x:v>2982404.29</x:v>
      </x:c>
    </x:row>
    <x:row r="63">
      <x:c r="A63" s="57" t="n">
        <x:v>43586</x:v>
      </x:c>
      <x:c r="B63" s="41" t="n">
        <x:v>5083</x:v>
      </x:c>
      <x:c r="C63" s="49" t="n">
        <x:v>10216647.89</x:v>
      </x:c>
      <x:c r="D63" s="49" t="n">
        <x:v>3009843.03</x:v>
      </x:c>
    </x:row>
    <x:row r="64">
      <x:c r="A64" s="57" t="n">
        <x:v>43617</x:v>
      </x:c>
      <x:c r="B64" s="41" t="n">
        <x:v>5136</x:v>
      </x:c>
      <x:c r="C64" s="49" t="n">
        <x:v>9697523.24</x:v>
      </x:c>
      <x:c r="D64" s="49" t="n">
        <x:v>3248793.86</x:v>
      </x:c>
    </x:row>
    <x:row r="65">
      <x:c r="A65" s="57" t="n">
        <x:v>43647</x:v>
      </x:c>
      <x:c r="B65" s="41" t="n">
        <x:v>5298</x:v>
      </x:c>
      <x:c r="C65" s="49" t="n">
        <x:v>10146492.6</x:v>
      </x:c>
      <x:c r="D65" s="49" t="n">
        <x:v>3213335.22</x:v>
      </x:c>
    </x:row>
    <x:row r="66">
      <x:c r="A66" s="57" t="n">
        <x:v>43678</x:v>
      </x:c>
      <x:c r="B66" s="41" t="n">
        <x:v>5341</x:v>
      </x:c>
      <x:c r="C66" s="49" t="n">
        <x:v>10570346.22</x:v>
      </x:c>
      <x:c r="D66" s="49" t="n">
        <x:v>3180262.85</x:v>
      </x:c>
    </x:row>
    <x:row r="67">
      <x:c r="A67" s="57" t="n">
        <x:v>43709</x:v>
      </x:c>
      <x:c r="B67" s="41" t="n">
        <x:v>5195</x:v>
      </x:c>
      <x:c r="C67" s="49" t="n">
        <x:v>10480586.94</x:v>
      </x:c>
      <x:c r="D67" s="49" t="n">
        <x:v>3073181.33</x:v>
      </x:c>
    </x:row>
    <x:row r="68">
      <x:c r="A68" s="57" t="n">
        <x:v>43739</x:v>
      </x:c>
      <x:c r="B68" s="41" t="n">
        <x:v>5479</x:v>
      </x:c>
      <x:c r="C68" s="49" t="n">
        <x:v>10866451.15</x:v>
      </x:c>
      <x:c r="D68" s="49" t="n">
        <x:v>3218996.4</x:v>
      </x:c>
    </x:row>
    <x:row r="69">
      <x:c r="A69" s="57" t="n">
        <x:v>43770</x:v>
      </x:c>
      <x:c r="B69" s="41" t="n">
        <x:v>5299</x:v>
      </x:c>
      <x:c r="C69" s="49" t="n">
        <x:v>9487845.13</x:v>
      </x:c>
      <x:c r="D69" s="49" t="n">
        <x:v>3095240.09</x:v>
      </x:c>
    </x:row>
    <x:row r="70">
      <x:c r="A70" s="57" t="n">
        <x:v>43800</x:v>
      </x:c>
      <x:c r="B70" s="41" t="n">
        <x:v>5611</x:v>
      </x:c>
      <x:c r="C70" s="49" t="n">
        <x:v>10648151.28</x:v>
      </x:c>
      <x:c r="D70" s="49" t="n">
        <x:v>3150149.87</x:v>
      </x:c>
    </x:row>
    <x:row r="71">
      <x:c r="A71" s="57" t="n">
        <x:v>43831</x:v>
      </x:c>
      <x:c r="B71" s="41" t="n">
        <x:v>5686</x:v>
      </x:c>
      <x:c r="C71" s="49" t="n">
        <x:v>11122953.14</x:v>
      </x:c>
      <x:c r="D71" s="49" t="n">
        <x:v>3233467.17</x:v>
      </x:c>
    </x:row>
    <x:row r="72">
      <x:c r="A72" s="57" t="n">
        <x:v>43862</x:v>
      </x:c>
      <x:c r="B72" s="41" t="n">
        <x:v>5330</x:v>
      </x:c>
      <x:c r="C72" s="49" t="n">
        <x:v>9945260.71</x:v>
      </x:c>
      <x:c r="D72" s="49" t="n">
        <x:v>3206968.29</x:v>
      </x:c>
    </x:row>
    <x:row r="73">
      <x:c r="A73" s="57" t="n">
        <x:v>43891</x:v>
      </x:c>
      <x:c r="B73" s="41" t="n">
        <x:v>5852</x:v>
      </x:c>
      <x:c r="C73" s="49" t="n">
        <x:v>10600907.62</x:v>
      </x:c>
      <x:c r="D73" s="49" t="n">
        <x:v>3539748.91</x:v>
      </x:c>
    </x:row>
    <x:row r="74">
      <x:c r="A74" s="57" t="n">
        <x:v>43922</x:v>
      </x:c>
      <x:c r="B74" s="41" t="n">
        <x:v>5660</x:v>
      </x:c>
      <x:c r="C74" s="49" t="n">
        <x:v>10715132.15</x:v>
      </x:c>
      <x:c r="D74" s="49" t="n">
        <x:v>3440182.58</x:v>
      </x:c>
    </x:row>
    <x:row r="75">
      <x:c r="A75" s="57" t="n">
        <x:v>43952</x:v>
      </x:c>
      <x:c r="B75" s="41" t="n">
        <x:v>5942</x:v>
      </x:c>
      <x:c r="C75" s="49" t="n">
        <x:v>12228926.4</x:v>
      </x:c>
      <x:c r="D75" s="49" t="n">
        <x:v>3527968.89</x:v>
      </x:c>
    </x:row>
    <x:row r="76">
      <x:c r="A76" s="57" t="n">
        <x:v>43983</x:v>
      </x:c>
      <x:c r="B76" s="41" t="n">
        <x:v>5710</x:v>
      </x:c>
      <x:c r="C76" s="49" t="n">
        <x:v>10875662.98</x:v>
      </x:c>
      <x:c r="D76" s="49" t="n">
        <x:v>3513895.12</x:v>
      </x:c>
    </x:row>
    <x:row r="77">
      <x:c r="A77" s="57" t="n">
        <x:v>44013</x:v>
      </x:c>
      <x:c r="B77" s="41" t="n">
        <x:v>6050</x:v>
      </x:c>
      <x:c r="C77" s="49" t="n">
        <x:v>11628012.36</x:v>
      </x:c>
      <x:c r="D77" s="49" t="n">
        <x:v>3850974.5</x:v>
      </x:c>
    </x:row>
    <x:row r="78">
      <x:c r="A78" s="57" t="n">
        <x:v>44044</x:v>
      </x:c>
      <x:c r="B78" s="41" t="n">
        <x:v>6107</x:v>
      </x:c>
      <x:c r="C78" s="49" t="n">
        <x:v>11805388.5</x:v>
      </x:c>
      <x:c r="D78" s="49" t="n">
        <x:v>3965143.98</x:v>
      </x:c>
    </x:row>
    <x:row r="79">
      <x:c r="A79" s="57" t="n">
        <x:v>44075</x:v>
      </x:c>
      <x:c r="B79" s="41" t="n">
        <x:v>5747</x:v>
      </x:c>
      <x:c r="C79" s="49" t="n">
        <x:v>11026603.68</x:v>
      </x:c>
      <x:c r="D79" s="49" t="n">
        <x:v>3538677.12</x:v>
      </x:c>
    </x:row>
    <x:row r="80">
      <x:c r="A80" s="57" t="n">
        <x:v>44105</x:v>
      </x:c>
      <x:c r="B80" s="41" t="n">
        <x:v>5992</x:v>
      </x:c>
      <x:c r="C80" s="49" t="n">
        <x:v>12113262.93</x:v>
      </x:c>
      <x:c r="D80" s="49" t="n">
        <x:v>3541539.11</x:v>
      </x:c>
    </x:row>
    <x:row r="81">
      <x:c r="A81" s="57" t="n">
        <x:v>44136</x:v>
      </x:c>
      <x:c r="B81" s="41" t="n">
        <x:v>5866</x:v>
      </x:c>
      <x:c r="C81" s="49" t="n">
        <x:v>11701118.21</x:v>
      </x:c>
      <x:c r="D81" s="49" t="n">
        <x:v>3767091.67</x:v>
      </x:c>
    </x:row>
    <x:row r="82">
      <x:c r="A82" s="57" t="n">
        <x:v>44166</x:v>
      </x:c>
      <x:c r="B82" s="41" t="n">
        <x:v>6011</x:v>
      </x:c>
      <x:c r="C82" s="49" t="n">
        <x:v>11780498.39</x:v>
      </x:c>
      <x:c r="D82" s="49" t="n">
        <x:v>3763439.07</x:v>
      </x:c>
    </x:row>
    <x:row r="83">
      <x:c r="A83" s="57" t="n">
        <x:v>44197</x:v>
      </x:c>
      <x:c r="B83" s="41" t="n">
        <x:v>6831</x:v>
      </x:c>
      <x:c r="C83" s="49" t="n">
        <x:v>12456224.3</x:v>
      </x:c>
      <x:c r="D83" s="49" t="n">
        <x:v>4308032.01</x:v>
      </x:c>
    </x:row>
    <x:row r="84">
      <x:c r="A84" s="57" t="n">
        <x:v>44228</x:v>
      </x:c>
      <x:c r="B84" s="41" t="n">
        <x:v>7553</x:v>
      </x:c>
      <x:c r="C84" s="49" t="n">
        <x:v>11240133.07</x:v>
      </x:c>
      <x:c r="D84" s="49" t="n">
        <x:v>3702036.46</x:v>
      </x:c>
    </x:row>
    <x:row r="85">
      <x:c r="A85" s="57" t="n">
        <x:v>44256</x:v>
      </x:c>
      <x:c r="B85" s="41" t="n">
        <x:v>9480</x:v>
      </x:c>
      <x:c r="C85" s="49" t="n">
        <x:v>13255426.63</x:v>
      </x:c>
      <x:c r="D85" s="49" t="n">
        <x:v>4195350.22</x:v>
      </x:c>
    </x:row>
    <x:row r="86">
      <x:c r="A86" s="57" t="n">
        <x:v>44287</x:v>
      </x:c>
      <x:c r="B86" s="41" t="n">
        <x:v>8787</x:v>
      </x:c>
      <x:c r="C86" s="49" t="n">
        <x:v>12142293.6</x:v>
      </x:c>
      <x:c r="D86" s="49" t="n">
        <x:v>4157422.86</x:v>
      </x:c>
    </x:row>
    <x:row r="87">
      <x:c r="A87" s="57" t="n">
        <x:v>44317</x:v>
      </x:c>
      <x:c r="B87" s="41" t="n">
        <x:v>7759</x:v>
      </x:c>
      <x:c r="C87" s="49" t="n">
        <x:v>12455968.6</x:v>
      </x:c>
      <x:c r="D87" s="49" t="n">
        <x:v>4046374.5</x:v>
      </x:c>
    </x:row>
    <x:row r="88">
      <x:c r="A88" s="57" t="n">
        <x:v>44348</x:v>
      </x:c>
      <x:c r="B88" s="41" t="n">
        <x:v>6728</x:v>
      </x:c>
      <x:c r="C88" s="49" t="n">
        <x:v>12007695</x:v>
      </x:c>
      <x:c r="D88" s="49" t="n">
        <x:v>3731057.61</x:v>
      </x:c>
    </x:row>
    <x:row r="89">
      <x:c r="A89" s="57" t="n">
        <x:v>44378</x:v>
      </x:c>
      <x:c r="B89" s="41" t="n">
        <x:v>6714</x:v>
      </x:c>
      <x:c r="C89" s="49" t="n">
        <x:v>11989735.3</x:v>
      </x:c>
      <x:c r="D89" s="49" t="n">
        <x:v>3881610.09</x:v>
      </x:c>
    </x:row>
    <x:row r="90">
      <x:c r="A90" s="57" t="n">
        <x:v>44409</x:v>
      </x:c>
      <x:c r="B90" s="41" t="n">
        <x:v>6854</x:v>
      </x:c>
      <x:c r="C90" s="49" t="n">
        <x:v>11895666.55</x:v>
      </x:c>
      <x:c r="D90" s="49" t="n">
        <x:v>3923939.03</x:v>
      </x:c>
    </x:row>
    <x:row r="91">
      <x:c r="A91" s="57" t="n">
        <x:v>44440</x:v>
      </x:c>
      <x:c r="B91" s="41" t="n">
        <x:v>6632</x:v>
      </x:c>
      <x:c r="C91" s="49" t="n">
        <x:v>13317028.37</x:v>
      </x:c>
      <x:c r="D91" s="49" t="n">
        <x:v>3866998.09</x:v>
      </x:c>
    </x:row>
    <x:row r="92">
      <x:c r="A92" s="57" t="n">
        <x:v>44470</x:v>
      </x:c>
      <x:c r="B92" s="41" t="n">
        <x:v>6890</x:v>
      </x:c>
      <x:c r="C92" s="49" t="n">
        <x:v>14293595.8</x:v>
      </x:c>
      <x:c r="D92" s="49" t="n">
        <x:v>3949987.94</x:v>
      </x:c>
    </x:row>
    <x:row r="93">
      <x:c r="A93" s="57" t="n">
        <x:v>44501</x:v>
      </x:c>
      <x:c r="B93" s="41" t="n">
        <x:v>6750</x:v>
      </x:c>
      <x:c r="C93" s="49" t="n">
        <x:v>12278510.35</x:v>
      </x:c>
      <x:c r="D93" s="49" t="n">
        <x:v>3752615.65</x:v>
      </x:c>
    </x:row>
    <x:row r="94">
      <x:c r="A94" s="57" t="n">
        <x:v>44531</x:v>
      </x:c>
      <x:c r="B94" s="41" t="n">
        <x:v>6707</x:v>
      </x:c>
      <x:c r="C94" s="49" t="n">
        <x:v>12417512.42</x:v>
      </x:c>
      <x:c r="D94" s="49" t="n">
        <x:v>3954243.58</x:v>
      </x:c>
    </x:row>
    <x:row r="95">
      <x:c r="A95" s="57" t="n">
        <x:v>44562</x:v>
      </x:c>
      <x:c r="B95" s="41" t="n">
        <x:v>6820</x:v>
      </x:c>
      <x:c r="C95" s="49" t="n">
        <x:v>12420668.63</x:v>
      </x:c>
      <x:c r="D95" s="49" t="n">
        <x:v>4001953.94</x:v>
      </x:c>
    </x:row>
    <x:row r="96">
      <x:c r="A96" s="57" t="n">
        <x:v>44593</x:v>
      </x:c>
      <x:c r="B96" s="41" t="n">
        <x:v>6160</x:v>
      </x:c>
      <x:c r="C96" s="49" t="n">
        <x:v>11828316.38</x:v>
      </x:c>
      <x:c r="D96" s="49" t="n">
        <x:v>3730012.82</x:v>
      </x:c>
    </x:row>
    <x:row r="97">
      <x:c r="A97" s="57" t="n">
        <x:v>44621</x:v>
      </x:c>
      <x:c r="B97" s="41" t="n">
        <x:v>6904</x:v>
      </x:c>
      <x:c r="C97" s="49" t="n">
        <x:v>13947930.15</x:v>
      </x:c>
      <x:c r="D97" s="49" t="n">
        <x:v>4008746.14</x:v>
      </x:c>
    </x:row>
    <x:row r="98">
      <x:c r="A98" s="57" t="n">
        <x:v>44652</x:v>
      </x:c>
      <x:c r="B98" s="41" t="n">
        <x:v>7032</x:v>
      </x:c>
      <x:c r="C98" s="49" t="n">
        <x:v>14178596.36</x:v>
      </x:c>
      <x:c r="D98" s="49" t="n">
        <x:v>4150651.49</x:v>
      </x:c>
    </x:row>
    <x:row r="99">
      <x:c r="A99" s="57" t="n">
        <x:v>44682</x:v>
      </x:c>
      <x:c r="B99" s="41" t="n">
        <x:v>6913</x:v>
      </x:c>
      <x:c r="C99" s="49" t="n">
        <x:v>13000885.29</x:v>
      </x:c>
      <x:c r="D99" s="49" t="n">
        <x:v>4164683.78</x:v>
      </x:c>
    </x:row>
    <x:row r="100">
      <x:c r="A100" s="57" t="n">
        <x:v>44713</x:v>
      </x:c>
      <x:c r="B100" s="41" t="n">
        <x:v>6895</x:v>
      </x:c>
      <x:c r="C100" s="49" t="n">
        <x:v>13621931.3</x:v>
      </x:c>
      <x:c r="D100" s="49" t="n">
        <x:v>4101415.99</x:v>
      </x:c>
    </x:row>
    <x:row r="101">
      <x:c r="A101" s="57" t="n">
        <x:v>44743</x:v>
      </x:c>
      <x:c r="B101" s="41" t="n">
        <x:v>7026</x:v>
      </x:c>
      <x:c r="C101" s="49" t="n">
        <x:v>15775341.89</x:v>
      </x:c>
      <x:c r="D101" s="49" t="n">
        <x:v>4036217.03</x:v>
      </x:c>
    </x:row>
    <x:row r="102">
      <x:c r="A102" s="57" t="n">
        <x:v>44774</x:v>
      </x:c>
      <x:c r="B102" s="41" t="n">
        <x:v>7288</x:v>
      </x:c>
      <x:c r="C102" s="49" t="n">
        <x:v>17706660.5</x:v>
      </x:c>
      <x:c r="D102" s="49" t="n">
        <x:v>4283742.92</x:v>
      </x:c>
    </x:row>
    <x:row r="103">
      <x:c r="A103" s="57" t="n">
        <x:v>44805</x:v>
      </x:c>
      <x:c r="B103" s="41" t="n">
        <x:v>7057</x:v>
      </x:c>
      <x:c r="C103" s="49" t="n">
        <x:v>14599554.82</x:v>
      </x:c>
      <x:c r="D103" s="49" t="n">
        <x:v>4271493.56</x:v>
      </x:c>
    </x:row>
    <x:row r="104">
      <x:c r="A104" s="57" t="n">
        <x:v>44835</x:v>
      </x:c>
      <x:c r="B104" s="41" t="n">
        <x:v>7357</x:v>
      </x:c>
      <x:c r="C104" s="49" t="n">
        <x:v>14207895.18</x:v>
      </x:c>
      <x:c r="D104" s="49" t="n">
        <x:v>4271474.2</x:v>
      </x:c>
    </x:row>
    <x:row r="105">
      <x:c r="A105" s="57" t="n">
        <x:v>44866</x:v>
      </x:c>
      <x:c r="B105" s="41" t="n">
        <x:v>7117</x:v>
      </x:c>
      <x:c r="C105" s="49" t="n">
        <x:v>14127161.91</x:v>
      </x:c>
      <x:c r="D105" s="49" t="n">
        <x:v>4200266.46</x:v>
      </x:c>
    </x:row>
    <x:row r="106">
      <x:c r="A106" s="57" t="n">
        <x:v>44896</x:v>
      </x:c>
      <x:c r="B106" s="41" t="n">
        <x:v>7344</x:v>
      </x:c>
      <x:c r="C106" s="49" t="n">
        <x:v>14342128.09</x:v>
      </x:c>
      <x:c r="D106" s="49" t="n">
        <x:v>4250629.04</x:v>
      </x:c>
    </x:row>
    <x:row r="107">
      <x:c r="A107" s="57" t="n">
        <x:v>44927</x:v>
      </x:c>
      <x:c r="B107" s="41" t="n">
        <x:v>7462</x:v>
      </x:c>
      <x:c r="C107" s="49" t="n">
        <x:v>15352266.63</x:v>
      </x:c>
      <x:c r="D107" s="49" t="n">
        <x:v>4423392.51</x:v>
      </x:c>
    </x:row>
    <x:row r="108">
      <x:c r="A108" s="57" t="n">
        <x:v>44958</x:v>
      </x:c>
      <x:c r="B108" s="41" t="n">
        <x:v>6874</x:v>
      </x:c>
      <x:c r="C108" s="49" t="n">
        <x:v>13903370.73</x:v>
      </x:c>
      <x:c r="D108" s="49" t="n">
        <x:v>4094788.98</x:v>
      </x:c>
    </x:row>
    <x:row r="109">
      <x:c r="A109" s="57" t="n">
        <x:v>44986</x:v>
      </x:c>
      <x:c r="B109" s="41" t="n">
        <x:v>1316</x:v>
      </x:c>
      <x:c r="C109" s="49" t="n">
        <x:v>3056329.06</x:v>
      </x:c>
      <x:c r="D109" s="49" t="n">
        <x:v>871687.44</x:v>
      </x:c>
    </x:row>
  </x:sheetData>
  <x:mergeCells>
    <x:mergeCell ref="A1:M1"/>
  </x:mergeCells>
  <x:pageMargins left="0.7" right="0.7" top="0.75" bottom="0.75" header="0.3" footer="0.3"/>
  <x:tableParts count="4">
    <x:tablePart xmlns:r="http://schemas.openxmlformats.org/officeDocument/2006/relationships" r:id="Rc145d0d49c8247c6"/>
    <x:tablePart xmlns:r="http://schemas.openxmlformats.org/officeDocument/2006/relationships" r:id="R84728cf0d5cd4ede"/>
    <x:tablePart xmlns:r="http://schemas.openxmlformats.org/officeDocument/2006/relationships" r:id="R5ca32ebd529545b2"/>
    <x:tablePart xmlns:r="http://schemas.openxmlformats.org/officeDocument/2006/relationships" r:id="R0f57cff9b2ad496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29" t="str">
        <x:v>Excel Data Quality Checks</x:v>
      </x:c>
      <x:c r="B1" s="29"/>
      <x:c r="C1" s="29"/>
      <x:c r="D1" s="29"/>
    </x:row>
    <x:row r="2">
      <x:c r="A2" s="29"/>
      <x:c r="B2" s="29"/>
      <x:c r="C2" s="29"/>
      <x:c r="D2" s="29"/>
    </x:row>
    <x:row r="4">
      <x:c r="A4" s="22" t="str">
        <x:v>Check</x:v>
      </x:c>
      <x:c r="B4" s="22" t="str">
        <x:v>Result</x:v>
      </x:c>
      <x:c r="C4" s="22" t="str">
        <x:v>Expected</x:v>
      </x:c>
      <x:c r="D4" s="22" t="str">
        <x:v>Status</x:v>
      </x:c>
    </x:row>
    <x:row r="5">
      <x:c r="A5" s="26" t="str">
        <x:v>Sample claim rows</x:v>
      </x:c>
      <x:c r="B5" s="26" t="n">
        <x:v>50000</x:v>
      </x:c>
      <x:c r="C5" s="26" t="n">
        <x:v>50000</x:v>
      </x:c>
      <x:c r="D5" s="26" t="str">
        <x:v>PASS</x:v>
      </x:c>
    </x:row>
    <x:row r="6">
      <x:c r="A6" s="26" t="str">
        <x:v>Missing claim keys</x:v>
      </x:c>
      <x:c r="B6" s="26" t="n">
        <x:v>0</x:v>
      </x:c>
      <x:c r="C6" s="26" t="n">
        <x:v>0</x:v>
      </x:c>
      <x:c r="D6" s="26" t="str">
        <x:v>PASS</x:v>
      </x:c>
    </x:row>
    <x:row r="7">
      <x:c r="A7" s="26" t="str">
        <x:v>Missing beneficiary IDs</x:v>
      </x:c>
      <x:c r="B7" s="26" t="n">
        <x:v>0</x:v>
      </x:c>
      <x:c r="C7" s="26" t="n">
        <x:v>0</x:v>
      </x:c>
      <x:c r="D7" s="26" t="str">
        <x:v>PASS</x:v>
      </x:c>
    </x:row>
    <x:row r="8">
      <x:c r="A8" s="26" t="str">
        <x:v>Invalid claim-date order</x:v>
      </x:c>
      <x:c r="B8" s="26" t="n">
        <x:v>0</x:v>
      </x:c>
      <x:c r="C8" s="26" t="n">
        <x:v>0</x:v>
      </x:c>
      <x:c r="D8" s="26" t="str">
        <x:v>PASS</x:v>
      </x:c>
    </x:row>
    <x:row r="9">
      <x:c r="A9" s="26" t="str">
        <x:v>Negative billed amounts</x:v>
      </x:c>
      <x:c r="B9" s="26" t="n">
        <x:v>0</x:v>
      </x:c>
      <x:c r="C9" s="26" t="n">
        <x:v>0</x:v>
      </x:c>
      <x:c r="D9" s="26" t="str">
        <x:v>PASS</x:v>
      </x:c>
    </x:row>
    <x:row r="10">
      <x:c r="A10" s="26" t="str">
        <x:v>Paid amount above approved amount</x:v>
      </x:c>
      <x:c r="B10" s="26" t="n">
        <x:v>0</x:v>
      </x:c>
      <x:c r="C10" s="26" t="n">
        <x:v>0</x:v>
      </x:c>
      <x:c r="D10" s="26" t="str">
        <x:v>PASS</x:v>
      </x:c>
    </x:row>
    <x:row r="11">
      <x:c r="A11" s="26" t="str">
        <x:v>Rejected claims with payment</x:v>
      </x:c>
      <x:c r="B11" s="26" t="n">
        <x:v>0</x:v>
      </x:c>
      <x:c r="C11" s="26" t="n">
        <x:v>0</x:v>
      </x:c>
      <x:c r="D11" s="26" t="str">
        <x:v>PASS</x:v>
      </x:c>
    </x:row>
  </x:sheetData>
  <x:mergeCells>
    <x:mergeCell ref="A1:D2"/>
  </x:mergeCells>
  <x:conditionalFormatting sqref="D5:D11">
    <x:cfRule type="expression" dxfId="0" priority="1">
      <x:formula>D5="PASS"</x:formula>
    </x:cfRule>
    <x:cfRule type="expression" dxfId="1" priority="2">
      <x:formula>D5="FAIL"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4" hidden="0" customWidth="1"/>
    <x:col min="5" max="5" width="16" hidden="0" customWidth="1"/>
    <x:col min="7" max="7" width="24" hidden="0" customWidth="1"/>
    <x:col min="8" max="8" width="16" hidden="0" customWidth="1"/>
    <x:col min="9" max="9" width="18" hidden="0" customWidth="1"/>
    <x:col min="10" max="10" width="12" hidden="0" customWidth="1"/>
    <x:col min="12" max="12" width="26" hidden="0" customWidth="1"/>
    <x:col min="13" max="13" width="45" hidden="0" customWidth="1"/>
    <x:col min="14" max="14" width="24" hidden="0" customWidth="1"/>
  </x:cols>
  <x:sheetData>
    <x:row r="1">
      <x:c r="A1" s="29" t="str">
        <x:v>Lookup and Reference Tables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</x:row>
    <x:row r="3">
      <x:c r="A3" s="22" t="str">
        <x:v>PLAN_ID</x:v>
      </x:c>
      <x:c r="B3" s="22" t="str">
        <x:v>PLAN_NAME</x:v>
      </x:c>
      <x:c r="C3" s="22" t="str">
        <x:v>DEDUCTIBLE_RATE</x:v>
      </x:c>
      <x:c r="D3" s="22" t="str">
        <x:v>COPAY_RATE</x:v>
      </x:c>
      <x:c r="E3" s="22" t="str">
        <x:v>COVERAGE_TIER</x:v>
      </x:c>
      <x:c r="F3" s="26"/>
      <x:c r="G3" s="22" t="str">
        <x:v>CLAIM_STATUS</x:v>
      </x:c>
      <x:c r="H3" s="22" t="str">
        <x:v>STATUS_GROUP</x:v>
      </x:c>
      <x:c r="I3" s="22" t="str">
        <x:v>STATUS_SORT_ORDER</x:v>
      </x:c>
      <x:c r="J3" s="22" t="str">
        <x:v>IS_OPEN</x:v>
      </x:c>
      <x:c r="K3" s="26"/>
      <x:c r="L3" s="22" t="str">
        <x:v>DENIAL_REASON</x:v>
      </x:c>
      <x:c r="M3" s="22" t="str">
        <x:v>DENIAL_DESCRIPTION</x:v>
      </x:c>
      <x:c r="N3" s="22" t="str">
        <x:v>BUSINESS_OWNER</x:v>
      </x:c>
    </x:row>
    <x:row r="4">
      <x:c r="A4" s="26" t="str">
        <x:v>PLAN_BASIC</x:v>
      </x:c>
      <x:c r="B4" s="26" t="str">
        <x:v>Basic Plan</x:v>
      </x:c>
      <x:c r="C4" s="59" t="n">
        <x:v>0.08</x:v>
      </x:c>
      <x:c r="D4" s="59" t="n">
        <x:v>0.15</x:v>
      </x:c>
      <x:c r="E4" s="26" t="str">
        <x:v>Entry</x:v>
      </x:c>
      <x:c r="F4" s="26"/>
      <x:c r="G4" s="26" t="str">
        <x:v>APPROVED</x:v>
      </x:c>
      <x:c r="H4" s="26" t="str">
        <x:v>FINAL</x:v>
      </x:c>
      <x:c r="I4" s="26" t="n">
        <x:v>1</x:v>
      </x:c>
      <x:c r="J4" s="63" t="b">
        <x:v>0</x:v>
      </x:c>
      <x:c r="K4" s="26"/>
      <x:c r="L4" s="26" t="str">
        <x:v>POLICY_INACTIVE</x:v>
      </x:c>
      <x:c r="M4" s="18" t="str">
        <x:v>Policy was inactive on the service date.</x:v>
      </x:c>
      <x:c r="N4" s="26" t="str">
        <x:v>Policy Operations</x:v>
      </x:c>
    </x:row>
    <x:row r="5">
      <x:c r="A5" s="26" t="str">
        <x:v>PLAN_STANDARD</x:v>
      </x:c>
      <x:c r="B5" s="26" t="str">
        <x:v>Standard Plan</x:v>
      </x:c>
      <x:c r="C5" s="59" t="n">
        <x:v>0.04</x:v>
      </x:c>
      <x:c r="D5" s="59" t="n">
        <x:v>0.1</x:v>
      </x:c>
      <x:c r="E5" s="26" t="str">
        <x:v>Mid</x:v>
      </x:c>
      <x:c r="F5" s="26"/>
      <x:c r="G5" s="26" t="str">
        <x:v>PARTIALLY_APPROVED</x:v>
      </x:c>
      <x:c r="H5" s="26" t="str">
        <x:v>FINAL</x:v>
      </x:c>
      <x:c r="I5" s="26" t="n">
        <x:v>2</x:v>
      </x:c>
      <x:c r="J5" s="63" t="b">
        <x:v>0</x:v>
      </x:c>
      <x:c r="K5" s="26"/>
      <x:c r="L5" s="26" t="str">
        <x:v>TREATMENT_NOT_COVERED</x:v>
      </x:c>
      <x:c r="M5" s="18" t="str">
        <x:v>Treatment was outside plan coverage.</x:v>
      </x:c>
      <x:c r="N5" s="26" t="str">
        <x:v>Product and Benefits</x:v>
      </x:c>
    </x:row>
    <x:row r="6">
      <x:c r="A6" s="26" t="str">
        <x:v>PLAN_PREMIUM</x:v>
      </x:c>
      <x:c r="B6" s="26" t="str">
        <x:v>Premium Plan</x:v>
      </x:c>
      <x:c r="C6" s="59" t="n">
        <x:v>0.01</x:v>
      </x:c>
      <x:c r="D6" s="59" t="n">
        <x:v>0.05</x:v>
      </x:c>
      <x:c r="E6" s="26" t="str">
        <x:v>High</x:v>
      </x:c>
      <x:c r="F6" s="26"/>
      <x:c r="G6" s="26" t="str">
        <x:v>REJECTED</x:v>
      </x:c>
      <x:c r="H6" s="26" t="str">
        <x:v>FINAL</x:v>
      </x:c>
      <x:c r="I6" s="26" t="n">
        <x:v>3</x:v>
      </x:c>
      <x:c r="J6" s="63" t="b">
        <x:v>0</x:v>
      </x:c>
      <x:c r="K6" s="26"/>
      <x:c r="L6" s="26" t="str">
        <x:v>WAITING_PERIOD</x:v>
      </x:c>
      <x:c r="M6" s="18" t="str">
        <x:v>Required waiting period was incomplete.</x:v>
      </x:c>
      <x:c r="N6" s="26" t="str">
        <x:v>Policy Operations</x:v>
      </x:c>
    </x:row>
    <x:row r="7">
      <x:c r="A7" s="26"/>
      <x:c r="B7" s="26"/>
      <x:c r="C7" s="26"/>
      <x:c r="D7" s="26"/>
      <x:c r="E7" s="26"/>
      <x:c r="F7" s="26"/>
      <x:c r="G7" s="26" t="str">
        <x:v>PENDING</x:v>
      </x:c>
      <x:c r="H7" s="26" t="str">
        <x:v>OPEN</x:v>
      </x:c>
      <x:c r="I7" s="26" t="n">
        <x:v>4</x:v>
      </x:c>
      <x:c r="J7" s="63" t="b">
        <x:v>1</x:v>
      </x:c>
      <x:c r="K7" s="26"/>
      <x:c r="L7" s="26" t="str">
        <x:v>PREAUTH_DENIED</x:v>
      </x:c>
      <x:c r="M7" s="18" t="str">
        <x:v>Required pre-authorisation was denied.</x:v>
      </x:c>
      <x:c r="N7" s="26" t="str">
        <x:v>Medical Review</x:v>
      </x:c>
    </x:row>
    <x:row r="8">
      <x:c r="A8" s="26"/>
      <x:c r="B8" s="26"/>
      <x:c r="C8" s="26"/>
      <x:c r="D8" s="26"/>
      <x:c r="E8" s="26"/>
      <x:c r="F8" s="26"/>
      <x:c r="G8" s="26" t="str">
        <x:v>MANUAL_REVIEW</x:v>
      </x:c>
      <x:c r="H8" s="26" t="str">
        <x:v>OPEN</x:v>
      </x:c>
      <x:c r="I8" s="26" t="n">
        <x:v>5</x:v>
      </x:c>
      <x:c r="J8" s="63" t="b">
        <x:v>1</x:v>
      </x:c>
      <x:c r="K8" s="26"/>
      <x:c r="L8" s="26" t="str">
        <x:v>OTHER</x:v>
      </x:c>
      <x:c r="M8" s="18" t="str">
        <x:v>Other documented adjudication reason.</x:v>
      </x:c>
      <x:c r="N8" s="26" t="str">
        <x:v>Claims Operations</x:v>
      </x:c>
    </x:row>
  </x:sheetData>
  <x:mergeCells>
    <x:mergeCell ref="A1:N1"/>
  </x:mergeCells>
  <x:pageMargins left="0.7" right="0.7" top="0.75" bottom="0.75" header="0.3" footer="0.3"/>
  <x:tableParts count="3">
    <x:tablePart xmlns:r="http://schemas.openxmlformats.org/officeDocument/2006/relationships" r:id="R4535fe0c50e24110"/>
    <x:tablePart xmlns:r="http://schemas.openxmlformats.org/officeDocument/2006/relationships" r:id="R904138a7d4d743be"/>
    <x:tablePart xmlns:r="http://schemas.openxmlformats.org/officeDocument/2006/relationships" r:id="R5aa022eafd3f474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42" hidden="0" customWidth="1"/>
    <x:col min="4" max="4" width="36" hidden="0" customWidth="1"/>
    <x:col min="5" max="5" width="22" hidden="0" customWidth="1"/>
    <x:col min="6" max="6" width="14" hidden="0" customWidth="1"/>
  </x:cols>
  <x:sheetData>
    <x:row r="1">
      <x:c r="A1" s="29" t="str">
        <x:v>KPI Dictionary</x:v>
      </x:c>
      <x:c r="B1" s="29"/>
      <x:c r="C1" s="29"/>
      <x:c r="D1" s="29"/>
      <x:c r="E1" s="29"/>
      <x:c r="F1" s="29"/>
    </x:row>
    <x:row r="2">
      <x:c r="A2" s="29"/>
      <x:c r="B2" s="29"/>
      <x:c r="C2" s="29"/>
      <x:c r="D2" s="29"/>
      <x:c r="E2" s="29"/>
      <x:c r="F2" s="29"/>
    </x:row>
    <x:row r="4">
      <x:c r="A4" s="22" t="str">
        <x:v>KPI</x:v>
      </x:c>
      <x:c r="B4" s="22" t="str">
        <x:v>Definition</x:v>
      </x:c>
      <x:c r="C4" s="22" t="str">
        <x:v>Formula / Logic</x:v>
      </x:c>
      <x:c r="D4" s="22" t="str">
        <x:v>Business Use</x:v>
      </x:c>
      <x:c r="E4" s="22" t="str">
        <x:v>Source</x:v>
      </x:c>
      <x:c r="F4" s="22" t="str">
        <x:v>Data Grain</x:v>
      </x:c>
    </x:row>
    <x:row r="5">
      <x:c r="A5" s="26" t="str">
        <x:v>Total Claims</x:v>
      </x:c>
      <x:c r="B5" s="18" t="str">
        <x:v>Number of unique claim records.</x:v>
      </x:c>
      <x:c r="C5" s="18" t="str">
        <x:v>COUNT(CLAIM_KEY)</x:v>
      </x:c>
      <x:c r="D5" s="18" t="str">
        <x:v>Volume and workload monitoring.</x:v>
      </x:c>
      <x:c r="E5" s="18" t="str">
        <x:v>Full claim header</x:v>
      </x:c>
      <x:c r="F5" s="18" t="str">
        <x:v>Claim</x:v>
      </x:c>
    </x:row>
    <x:row r="6">
      <x:c r="A6" s="26" t="str">
        <x:v>Approval Rate</x:v>
      </x:c>
      <x:c r="B6" s="18" t="str">
        <x:v>Share of approved and partially approved claims.</x:v>
      </x:c>
      <x:c r="C6" s="18" t="str">
        <x:v>(Approved + Partially Approved) / Total Claims</x:v>
      </x:c>
      <x:c r="D6" s="18" t="str">
        <x:v>Decision quality and access monitoring.</x:v>
      </x:c>
      <x:c r="E6" s="18" t="str">
        <x:v>Claim operations</x:v>
      </x:c>
      <x:c r="F6" s="18" t="str">
        <x:v>Claim</x:v>
      </x:c>
    </x:row>
    <x:row r="7">
      <x:c r="A7" s="26" t="str">
        <x:v>Rejection Rate</x:v>
      </x:c>
      <x:c r="B7" s="18" t="str">
        <x:v>Share of rejected claims.</x:v>
      </x:c>
      <x:c r="C7" s="18" t="str">
        <x:v>Rejected Claims / Total Claims</x:v>
      </x:c>
      <x:c r="D7" s="18" t="str">
        <x:v>Denial and policy-rule monitoring.</x:v>
      </x:c>
      <x:c r="E7" s="18" t="str">
        <x:v>Claim operations</x:v>
      </x:c>
      <x:c r="F7" s="18" t="str">
        <x:v>Claim</x:v>
      </x:c>
    </x:row>
    <x:row r="8">
      <x:c r="A8" s="26" t="str">
        <x:v>Open Claim Rate</x:v>
      </x:c>
      <x:c r="B8" s="18" t="str">
        <x:v>Share of pending and manual-review claims.</x:v>
      </x:c>
      <x:c r="C8" s="18" t="str">
        <x:v>(Pending + Manual Review) / Total Claims</x:v>
      </x:c>
      <x:c r="D8" s="18" t="str">
        <x:v>Backlog and workload prioritisation.</x:v>
      </x:c>
      <x:c r="E8" s="18" t="str">
        <x:v>Claim operations</x:v>
      </x:c>
      <x:c r="F8" s="18" t="str">
        <x:v>Claim</x:v>
      </x:c>
    </x:row>
    <x:row r="9">
      <x:c r="A9" s="26" t="str">
        <x:v>Settlement Rate</x:v>
      </x:c>
      <x:c r="B9" s="18" t="str">
        <x:v>Paid amount as a share of approved amount.</x:v>
      </x:c>
      <x:c r="C9" s="18" t="str">
        <x:v>Paid Amount / Approved Amount</x:v>
      </x:c>
      <x:c r="D9" s="18" t="str">
        <x:v>Payment reconciliation.</x:v>
      </x:c>
      <x:c r="E9" s="18" t="str">
        <x:v>Claim operations</x:v>
      </x:c>
      <x:c r="F9" s="18" t="str">
        <x:v>Claim</x:v>
      </x:c>
    </x:row>
    <x:row r="10">
      <x:c r="A10" s="26" t="str">
        <x:v>SLA Breach Rate</x:v>
      </x:c>
      <x:c r="B10" s="18" t="str">
        <x:v>Share of claims exceeding their SLA target.</x:v>
      </x:c>
      <x:c r="C10" s="18" t="str">
        <x:v>Breached Claims / Total Claims</x:v>
      </x:c>
      <x:c r="D10" s="18" t="str">
        <x:v>Operational performance.</x:v>
      </x:c>
      <x:c r="E10" s="18" t="str">
        <x:v>Claim operations</x:v>
      </x:c>
      <x:c r="F10" s="18" t="str">
        <x:v>Claim</x:v>
      </x:c>
    </x:row>
    <x:row r="11">
      <x:c r="A11" s="26" t="str">
        <x:v>Average Turnaround Days</x:v>
      </x:c>
      <x:c r="B11" s="18" t="str">
        <x:v>Average days from submission to decision or analysis date.</x:v>
      </x:c>
      <x:c r="C11" s="18" t="str">
        <x:v>AVERAGE(TURNAROUND_DAYS)</x:v>
      </x:c>
      <x:c r="D11" s="18" t="str">
        <x:v>Claims processing speed.</x:v>
      </x:c>
      <x:c r="E11" s="18" t="str">
        <x:v>Claim operations</x:v>
      </x:c>
      <x:c r="F11" s="18" t="str">
        <x:v>Claim</x:v>
      </x:c>
    </x:row>
    <x:row r="12">
      <x:c r="A12" s="26" t="str">
        <x:v>Claimed Amount</x:v>
      </x:c>
      <x:c r="B12" s="18" t="str">
        <x:v>Total billed amount submitted.</x:v>
      </x:c>
      <x:c r="C12" s="18" t="str">
        <x:v>SUM(BILLED_AMOUNT)</x:v>
      </x:c>
      <x:c r="D12" s="18" t="str">
        <x:v>Gross financial exposure.</x:v>
      </x:c>
      <x:c r="E12" s="18" t="str">
        <x:v>Claim operations</x:v>
      </x:c>
      <x:c r="F12" s="18" t="str">
        <x:v>Claim</x:v>
      </x:c>
    </x:row>
    <x:row r="13">
      <x:c r="A13" s="26" t="str">
        <x:v>Approved Amount</x:v>
      </x:c>
      <x:c r="B13" s="18" t="str">
        <x:v>Total amount approved after adjudication.</x:v>
      </x:c>
      <x:c r="C13" s="18" t="str">
        <x:v>SUM(APPROVED_AMOUNT)</x:v>
      </x:c>
      <x:c r="D13" s="18" t="str">
        <x:v>Approved financial liability.</x:v>
      </x:c>
      <x:c r="E13" s="18" t="str">
        <x:v>Claim operations</x:v>
      </x:c>
      <x:c r="F13" s="18" t="str">
        <x:v>Claim</x:v>
      </x:c>
    </x:row>
    <x:row r="14">
      <x:c r="A14" s="26" t="str">
        <x:v>Paid Amount</x:v>
      </x:c>
      <x:c r="B14" s="18" t="str">
        <x:v>Total amount paid.</x:v>
      </x:c>
      <x:c r="C14" s="18" t="str">
        <x:v>SUM(PAID_AMOUNT)</x:v>
      </x:c>
      <x:c r="D14" s="18" t="str">
        <x:v>Cash outflow and settlement.</x:v>
      </x:c>
      <x:c r="E14" s="18" t="str">
        <x:v>Claim operations</x:v>
      </x:c>
      <x:c r="F14" s="18" t="str">
        <x:v>Claim</x:v>
      </x:c>
    </x:row>
  </x:sheetData>
  <x:mergeCells>
    <x:mergeCell ref="A1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2" hidden="0" customWidth="1"/>
  </x:cols>
  <x:sheetData>
    <x:row r="1">
      <x:c r="A1" s="29" t="str">
        <x:v>Assumptions, Limitations and Governance</x:v>
      </x:c>
      <x:c r="B1" s="29"/>
    </x:row>
    <x:row r="2">
      <x:c r="A2" s="29"/>
      <x:c r="B2" s="29"/>
    </x:row>
    <x:row r="4">
      <x:c r="A4" s="22" t="str">
        <x:v>Category</x:v>
      </x:c>
      <x:c r="B4" s="22" t="str">
        <x:v>Statement</x:v>
      </x:c>
    </x:row>
    <x:row r="5">
      <x:c r="A5" s="36" t="str">
        <x:v>Data source</x:v>
      </x:c>
      <x:c r="B5" s="18" t="str">
        <x:v>CMS patient-level records are synthetic, not real patient claims.</x:v>
      </x:c>
    </x:row>
    <x:row r="6">
      <x:c r="A6" s="36" t="str">
        <x:v>Operational layer</x:v>
      </x:c>
      <x:c r="B6" s="18" t="str">
        <x:v>Adjudication, policy, work-queue, SLA, fraud-alert and leakage fields are project-generated synthetic data.</x:v>
      </x:c>
    </x:row>
    <x:row r="7">
      <x:c r="A7" s="36" t="str">
        <x:v>Financial hierarchy</x:v>
      </x:c>
      <x:c r="B7" s="18" t="str">
        <x:v>Billed Amount ≥ Eligible Amount ≥ Approved Amount ≥ Paid Amount.</x:v>
      </x:c>
    </x:row>
    <x:row r="8">
      <x:c r="A8" s="36" t="str">
        <x:v>Model governance</x:v>
      </x:c>
      <x:c r="B8" s="18" t="str">
        <x:v>Any future ML score will prioritise claims for human review and will not automatically reject claims.</x:v>
      </x:c>
    </x:row>
    <x:row r="9">
      <x:c r="A9" s="36" t="str">
        <x:v>Fraud interpretation</x:v>
      </x:c>
      <x:c r="B9" s="18" t="str">
        <x:v>A fraud alert indicates suspicious activity, not confirmed fraud.</x:v>
      </x:c>
    </x:row>
    <x:row r="10">
      <x:c r="A10" s="36" t="str">
        <x:v>Financial impact</x:v>
      </x:c>
      <x:c r="B10" s="18" t="str">
        <x:v>All savings, leakage and ROI outputs are simulated and must not be presented as realised results.</x:v>
      </x:c>
    </x:row>
    <x:row r="11">
      <x:c r="A11" s="36" t="str">
        <x:v>Dashboard basis</x:v>
      </x:c>
      <x:c r="B11" s="18" t="str">
        <x:v>Dashboard metrics use the validated full-data summaries for 514,225 unique claims.</x:v>
      </x:c>
    </x:row>
    <x:row r="12">
      <x:c r="A12" s="36" t="str">
        <x:v>Date coverage</x:v>
      </x:c>
      <x:c r="B12" s="18" t="str">
        <x:v>The current generated operations layer covers 2015 through early 2023.</x:v>
      </x:c>
    </x:row>
  </x:sheetData>
  <x:mergeCells>
    <x:mergeCell ref="A1:B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</x:cols>
  <x:sheetData>
    <x:row r="1">
      <x:c r="A1" s="66" t="str">
        <x:v>Health Insurance Claims Executive Dashboard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N1" s="102"/>
      <x:c r="O1" s="102"/>
      <x:c r="P1" s="102"/>
      <x:c r="Q1" s="102"/>
      <x:c r="R1" s="102"/>
      <x:c r="S1" s="102"/>
      <x:c r="T1" s="102"/>
      <x:c r="U1" s="102"/>
    </x:row>
    <x:row r="2">
      <x:c r="A2" s="66"/>
      <x:c r="B2" s="66"/>
      <x:c r="C2" s="66"/>
      <x:c r="D2" s="66"/>
      <x:c r="E2" s="66"/>
      <x:c r="F2" s="66"/>
      <x:c r="G2" s="66"/>
      <x:c r="H2" s="66"/>
      <x:c r="I2" s="66"/>
      <x:c r="J2" s="66"/>
      <x:c r="K2" s="66"/>
      <x:c r="L2" s="66"/>
      <x:c r="N2" s="102" t="str">
        <x:v>Status</x:v>
      </x:c>
      <x:c r="O2" s="102" t="str">
        <x:v>Claims</x:v>
      </x:c>
      <x:c r="P2" s="102"/>
      <x:c r="Q2" s="102" t="str">
        <x:v>Claim Type</x:v>
      </x:c>
      <x:c r="R2" s="102" t="str">
        <x:v>Claims</x:v>
      </x:c>
      <x:c r="S2" s="102"/>
      <x:c r="T2" s="102" t="str">
        <x:v>Financial Stage</x:v>
      </x:c>
      <x:c r="U2" s="102" t="str">
        <x:v>Amount</x:v>
      </x:c>
    </x:row>
    <x:row r="3">
      <x:c r="A3" s="71" t="str">
        <x:v>Full-data validated view | 514,225 synthetic claims | 2015–2023</x:v>
      </x:c>
      <x:c r="B3" s="71"/>
      <x:c r="C3" s="71"/>
      <x:c r="D3" s="71"/>
      <x:c r="E3" s="71"/>
      <x:c r="F3" s="71"/>
      <x:c r="G3" s="71"/>
      <x:c r="H3" s="71"/>
      <x:c r="I3" s="71"/>
      <x:c r="J3" s="71"/>
      <x:c r="K3" s="71"/>
      <x:c r="L3" s="71"/>
      <x:c r="N3" s="102" t="str">
        <x:v>APPROVED</x:v>
      </x:c>
      <x:c r="O3" s="102" t="n">
        <x:v>343974</x:v>
      </x:c>
      <x:c r="P3" s="102"/>
      <x:c r="Q3" s="102" t="str">
        <x:v>CARRIER</x:v>
      </x:c>
      <x:c r="R3" s="102" t="n">
        <x:v>90705</x:v>
      </x:c>
      <x:c r="S3" s="102"/>
      <x:c r="T3" s="102" t="str">
        <x:v>Billed</x:v>
      </x:c>
      <x:c r="U3" s="102" t="n">
        <x:v>1034918963.11</x:v>
      </x:c>
    </x:row>
    <x:row r="4">
      <x:c r="A4" s="36" t="str">
        <x:v>Total Claims</x:v>
      </x:c>
      <x:c r="B4" s="36"/>
      <x:c r="C4" s="36"/>
      <x:c r="D4" s="36" t="str">
        <x:v>Approval Rate</x:v>
      </x:c>
      <x:c r="E4" s="36"/>
      <x:c r="F4" s="36"/>
      <x:c r="G4" s="36" t="str">
        <x:v>Rejection Rate</x:v>
      </x:c>
      <x:c r="H4" s="36"/>
      <x:c r="I4" s="36"/>
      <x:c r="J4" s="36" t="str">
        <x:v>Open Claim Rate</x:v>
      </x:c>
      <x:c r="K4" s="36"/>
      <x:c r="L4" s="36"/>
      <x:c r="N4" s="102" t="str">
        <x:v>MANUAL_REVIEW</x:v>
      </x:c>
      <x:c r="O4" s="102" t="n">
        <x:v>27097</x:v>
      </x:c>
      <x:c r="P4" s="102"/>
      <x:c r="Q4" s="102" t="str">
        <x:v>INPATIENT</x:v>
      </x:c>
      <x:c r="R4" s="102" t="n">
        <x:v>20867</x:v>
      </x:c>
      <x:c r="S4" s="102"/>
      <x:c r="T4" s="102" t="str">
        <x:v>Approved</x:v>
      </x:c>
      <x:c r="U4" s="102" t="n">
        <x:v>344140265.32</x:v>
      </x:c>
    </x:row>
    <x:row r="5">
      <x:c r="A5" s="82" t="n">
        <x:f>'Claims EDA'!B9</x:f>
        <x:v>514225</x:v>
      </x:c>
      <x:c r="B5" s="82"/>
      <x:c r="C5" s="82"/>
      <x:c r="D5" s="84" t="n">
        <x:f>SUM('Claims EDA'!B4,'Claims EDA'!B6)/'Claims EDA'!B9</x:f>
        <x:v>0.785930283436239</x:v>
      </x:c>
      <x:c r="E5" s="84"/>
      <x:c r="F5" s="84"/>
      <x:c r="G5" s="84" t="n">
        <x:f>'Claims EDA'!B8/'Claims EDA'!B9</x:f>
        <x:v>0.07520443385677476</x:v>
      </x:c>
      <x:c r="H5" s="84"/>
      <x:c r="I5" s="84"/>
      <x:c r="J5" s="84" t="n">
        <x:f>SUM('Claims EDA'!B5,'Claims EDA'!B7)/'Claims EDA'!B9</x:f>
        <x:v>0.13886528270698625</x:v>
      </x:c>
      <x:c r="K5" s="84"/>
      <x:c r="L5" s="84"/>
      <x:c r="N5" s="102" t="str">
        <x:v>PARTIALLY_APPROVED</x:v>
      </x:c>
      <x:c r="O5" s="102" t="n">
        <x:v>60171</x:v>
      </x:c>
      <x:c r="P5" s="102"/>
      <x:c r="Q5" s="102" t="str">
        <x:v>OUTPATIENT</x:v>
      </x:c>
      <x:c r="R5" s="102" t="n">
        <x:v>402653</x:v>
      </x:c>
      <x:c r="S5" s="102"/>
      <x:c r="T5" s="102" t="str">
        <x:v>Paid</x:v>
      </x:c>
      <x:c r="U5" s="102" t="n">
        <x:v>306172686.16</x:v>
      </x:c>
    </x:row>
    <x:row r="6">
      <x:c r="A6" s="82"/>
      <x:c r="B6" s="82"/>
      <x:c r="C6" s="82"/>
      <x:c r="D6" s="84"/>
      <x:c r="E6" s="84"/>
      <x:c r="F6" s="84"/>
      <x:c r="G6" s="84"/>
      <x:c r="H6" s="84"/>
      <x:c r="I6" s="84"/>
      <x:c r="J6" s="84"/>
      <x:c r="K6" s="84"/>
      <x:c r="L6" s="84"/>
      <x:c r="N6" s="102" t="str">
        <x:v>PENDING</x:v>
      </x:c>
      <x:c r="O6" s="102" t="n">
        <x:v>44311</x:v>
      </x:c>
      <x:c r="P6" s="102"/>
      <x:c r="Q6" s="102"/>
      <x:c r="R6" s="102"/>
      <x:c r="S6" s="102"/>
      <x:c r="T6" s="102"/>
      <x:c r="U6" s="102"/>
    </x:row>
    <x:row r="7">
      <x:c r="A7" s="82"/>
      <x:c r="B7" s="82"/>
      <x:c r="C7" s="82"/>
      <x:c r="D7" s="84"/>
      <x:c r="E7" s="84"/>
      <x:c r="F7" s="84"/>
      <x:c r="G7" s="84"/>
      <x:c r="H7" s="84"/>
      <x:c r="I7" s="84"/>
      <x:c r="J7" s="84"/>
      <x:c r="K7" s="84"/>
      <x:c r="L7" s="84"/>
      <x:c r="N7" s="102" t="str">
        <x:v>REJECTED</x:v>
      </x:c>
      <x:c r="O7" s="102" t="n">
        <x:v>38672</x:v>
      </x:c>
      <x:c r="P7" s="102"/>
      <x:c r="Q7" s="102"/>
      <x:c r="R7" s="102"/>
      <x:c r="S7" s="102"/>
      <x:c r="T7" s="102"/>
      <x:c r="U7" s="102"/>
    </x:row>
    <x:row r="8">
      <x:c r="A8" s="36" t="str">
        <x:v>Claimed Amount</x:v>
      </x:c>
      <x:c r="B8" s="36"/>
      <x:c r="C8" s="36"/>
      <x:c r="D8" s="36" t="str">
        <x:v>Approved Amount</x:v>
      </x:c>
      <x:c r="E8" s="36"/>
      <x:c r="F8" s="36"/>
      <x:c r="G8" s="36" t="str">
        <x:v>Paid Amount</x:v>
      </x:c>
      <x:c r="H8" s="36"/>
      <x:c r="I8" s="36"/>
      <x:c r="J8" s="36" t="str">
        <x:v>SLA Breach Rate</x:v>
      </x:c>
      <x:c r="K8" s="36"/>
      <x:c r="L8" s="36"/>
      <x:c r="N8" s="102"/>
      <x:c r="O8" s="102"/>
      <x:c r="P8" s="102"/>
      <x:c r="Q8" s="102"/>
      <x:c r="R8" s="102"/>
      <x:c r="S8" s="102"/>
      <x:c r="T8" s="102"/>
      <x:c r="U8" s="102"/>
    </x:row>
    <x:row r="9">
      <x:c r="A9" s="92" t="n">
        <x:f>'Claims EDA'!D9</x:f>
        <x:v>1034918963.11</x:v>
      </x:c>
      <x:c r="B9" s="92"/>
      <x:c r="C9" s="92"/>
      <x:c r="D9" s="92" t="n">
        <x:f>'Claims EDA'!E9</x:f>
        <x:v>344140265.32</x:v>
      </x:c>
      <x:c r="E9" s="92"/>
      <x:c r="F9" s="92"/>
      <x:c r="G9" s="92" t="n">
        <x:f>'Claims EDA'!F9</x:f>
        <x:v>306172686.16</x:v>
      </x:c>
      <x:c r="H9" s="92"/>
      <x:c r="I9" s="92"/>
      <x:c r="J9" s="94" t="n">
        <x:f>'Claims EDA'!J13/'Claims EDA'!J15</x:f>
        <x:v>0.40807817589576545</x:v>
      </x:c>
      <x:c r="K9" s="94"/>
      <x:c r="L9" s="94"/>
      <x:c r="N9" s="102"/>
      <x:c r="O9" s="102"/>
      <x:c r="P9" s="102"/>
      <x:c r="Q9" s="102"/>
      <x:c r="R9" s="102"/>
      <x:c r="S9" s="102"/>
      <x:c r="T9" s="102"/>
      <x:c r="U9" s="102"/>
    </x:row>
    <x:row r="10">
      <x:c r="A10" s="92"/>
      <x:c r="B10" s="92"/>
      <x:c r="C10" s="92"/>
      <x:c r="D10" s="92"/>
      <x:c r="E10" s="92"/>
      <x:c r="F10" s="92"/>
      <x:c r="G10" s="92"/>
      <x:c r="H10" s="92"/>
      <x:c r="I10" s="92"/>
      <x:c r="J10" s="94"/>
      <x:c r="K10" s="94"/>
      <x:c r="L10" s="94"/>
      <x:c r="N10" s="102" t="str">
        <x:v>SLA Status</x:v>
      </x:c>
      <x:c r="O10" s="102" t="str">
        <x:v>Carrier</x:v>
      </x:c>
      <x:c r="P10" s="102" t="str">
        <x:v>Inpatient</x:v>
      </x:c>
      <x:c r="Q10" s="102" t="str">
        <x:v>Outpatient</x:v>
      </x:c>
      <x:c r="R10" s="102"/>
      <x:c r="S10" s="102"/>
      <x:c r="T10" s="102"/>
      <x:c r="U10" s="102"/>
    </x:row>
    <x:row r="11">
      <x:c r="A11" s="92"/>
      <x:c r="B11" s="92"/>
      <x:c r="C11" s="92"/>
      <x:c r="D11" s="92"/>
      <x:c r="E11" s="92"/>
      <x:c r="F11" s="92"/>
      <x:c r="G11" s="92"/>
      <x:c r="H11" s="92"/>
      <x:c r="I11" s="92"/>
      <x:c r="J11" s="94"/>
      <x:c r="K11" s="94"/>
      <x:c r="L11" s="94"/>
      <x:c r="N11" s="102" t="str">
        <x:v>BREACHED</x:v>
      </x:c>
      <x:c r="O11" s="102" t="n">
        <x:v>51556</x:v>
      </x:c>
      <x:c r="P11" s="102" t="n">
        <x:v>3452</x:v>
      </x:c>
      <x:c r="Q11" s="102" t="n">
        <x:v>154836</x:v>
      </x:c>
      <x:c r="R11" s="102"/>
      <x:c r="S11" s="102"/>
      <x:c r="T11" s="102"/>
      <x:c r="U11" s="102"/>
    </x:row>
    <x:row r="12">
      <x:c r="N12" s="102" t="str">
        <x:v>WITHIN_SLA</x:v>
      </x:c>
      <x:c r="O12" s="102" t="n">
        <x:v>39149</x:v>
      </x:c>
      <x:c r="P12" s="102" t="n">
        <x:v>17415</x:v>
      </x:c>
      <x:c r="Q12" s="102" t="n">
        <x:v>247817</x:v>
      </x:c>
      <x:c r="R12" s="102"/>
      <x:c r="S12" s="102"/>
      <x:c r="T12" s="102"/>
      <x:c r="U12" s="102"/>
    </x:row>
    <x:row r="13">
      <x:c r="N13" s="102"/>
      <x:c r="O13" s="102"/>
      <x:c r="P13" s="102"/>
      <x:c r="Q13" s="102"/>
      <x:c r="R13" s="102"/>
      <x:c r="S13" s="102"/>
      <x:c r="T13" s="102"/>
      <x:c r="U13" s="102"/>
    </x:row>
    <x:row r="14">
      <x:c r="N14" s="102"/>
      <x:c r="O14" s="102"/>
      <x:c r="P14" s="102"/>
      <x:c r="Q14" s="102"/>
      <x:c r="R14" s="102"/>
      <x:c r="S14" s="102"/>
      <x:c r="T14" s="102"/>
      <x:c r="U14" s="102"/>
    </x:row>
    <x:row r="15">
      <x:c r="N15" s="102"/>
      <x:c r="O15" s="102"/>
      <x:c r="P15" s="102"/>
      <x:c r="Q15" s="102"/>
      <x:c r="R15" s="102"/>
      <x:c r="S15" s="102"/>
      <x:c r="T15" s="102"/>
      <x:c r="U15" s="102"/>
    </x:row>
    <x:row r="16">
      <x:c r="N16" s="102" t="str">
        <x:v>Month</x:v>
      </x:c>
      <x:c r="O16" s="102" t="str">
        <x:v>Claims</x:v>
      </x:c>
      <x:c r="P16" s="102"/>
      <x:c r="Q16" s="102"/>
      <x:c r="R16" s="102"/>
      <x:c r="S16" s="102"/>
      <x:c r="T16" s="102"/>
      <x:c r="U16" s="102"/>
    </x:row>
    <x:row r="17">
      <x:c r="N17" s="102" t="str">
        <x:v>Mar-2015</x:v>
      </x:c>
      <x:c r="O17" s="102" t="n">
        <x:v>2354</x:v>
      </x:c>
      <x:c r="P17" s="102"/>
      <x:c r="Q17" s="102"/>
      <x:c r="R17" s="102"/>
      <x:c r="S17" s="102"/>
      <x:c r="T17" s="102"/>
      <x:c r="U17" s="102"/>
    </x:row>
    <x:row r="18">
      <x:c r="N18" s="102" t="str">
        <x:v>Apr-2015</x:v>
      </x:c>
      <x:c r="O18" s="102" t="n">
        <x:v>3710</x:v>
      </x:c>
      <x:c r="P18" s="102"/>
      <x:c r="Q18" s="102"/>
      <x:c r="R18" s="102"/>
      <x:c r="S18" s="102"/>
      <x:c r="T18" s="102"/>
      <x:c r="U18" s="102"/>
    </x:row>
    <x:row r="19">
      <x:c r="N19" s="102" t="str">
        <x:v>May-2015</x:v>
      </x:c>
      <x:c r="O19" s="102" t="n">
        <x:v>4000</x:v>
      </x:c>
      <x:c r="P19" s="102"/>
      <x:c r="Q19" s="102"/>
      <x:c r="R19" s="102"/>
      <x:c r="S19" s="102"/>
      <x:c r="T19" s="102"/>
      <x:c r="U19" s="102"/>
    </x:row>
    <x:row r="20">
      <x:c r="N20" s="102" t="str">
        <x:v>Jun-2015</x:v>
      </x:c>
      <x:c r="O20" s="102" t="n">
        <x:v>3770</x:v>
      </x:c>
      <x:c r="P20" s="102"/>
      <x:c r="Q20" s="102"/>
      <x:c r="R20" s="102"/>
      <x:c r="S20" s="102"/>
      <x:c r="T20" s="102"/>
      <x:c r="U20" s="102"/>
    </x:row>
    <x:row r="21">
      <x:c r="N21" s="102" t="str">
        <x:v>Jul-2015</x:v>
      </x:c>
      <x:c r="O21" s="102" t="n">
        <x:v>3919</x:v>
      </x:c>
      <x:c r="P21" s="102"/>
      <x:c r="Q21" s="102"/>
      <x:c r="R21" s="102"/>
      <x:c r="S21" s="102"/>
      <x:c r="T21" s="102"/>
      <x:c r="U21" s="102"/>
    </x:row>
    <x:row r="22">
      <x:c r="N22" s="102" t="str">
        <x:v>Aug-2015</x:v>
      </x:c>
      <x:c r="O22" s="102" t="n">
        <x:v>3860</x:v>
      </x:c>
      <x:c r="P22" s="102"/>
      <x:c r="Q22" s="102"/>
      <x:c r="R22" s="102"/>
      <x:c r="S22" s="102"/>
      <x:c r="T22" s="102"/>
      <x:c r="U22" s="102"/>
    </x:row>
    <x:row r="23">
      <x:c r="N23" s="102" t="str">
        <x:v>Sep-2015</x:v>
      </x:c>
      <x:c r="O23" s="102" t="n">
        <x:v>3798</x:v>
      </x:c>
      <x:c r="P23" s="102"/>
      <x:c r="Q23" s="102"/>
      <x:c r="R23" s="102"/>
      <x:c r="S23" s="102"/>
      <x:c r="T23" s="102"/>
      <x:c r="U23" s="102"/>
    </x:row>
    <x:row r="24">
      <x:c r="N24" s="102" t="str">
        <x:v>Oct-2015</x:v>
      </x:c>
      <x:c r="O24" s="102" t="n">
        <x:v>3940</x:v>
      </x:c>
      <x:c r="P24" s="102"/>
      <x:c r="Q24" s="102"/>
      <x:c r="R24" s="102"/>
      <x:c r="S24" s="102"/>
      <x:c r="T24" s="102"/>
      <x:c r="U24" s="102"/>
    </x:row>
    <x:row r="25">
      <x:c r="N25" s="102" t="str">
        <x:v>Nov-2015</x:v>
      </x:c>
      <x:c r="O25" s="102" t="n">
        <x:v>3969</x:v>
      </x:c>
      <x:c r="P25" s="102"/>
      <x:c r="Q25" s="102"/>
      <x:c r="R25" s="102"/>
      <x:c r="S25" s="102"/>
      <x:c r="T25" s="102"/>
      <x:c r="U25" s="102"/>
    </x:row>
    <x:row r="26">
      <x:c r="N26" s="102" t="str">
        <x:v>Dec-2015</x:v>
      </x:c>
      <x:c r="O26" s="102" t="n">
        <x:v>3898</x:v>
      </x:c>
      <x:c r="P26" s="102"/>
      <x:c r="Q26" s="102"/>
      <x:c r="R26" s="102"/>
      <x:c r="S26" s="102"/>
      <x:c r="T26" s="102"/>
      <x:c r="U26" s="102"/>
    </x:row>
    <x:row r="27">
      <x:c r="N27" s="102" t="str">
        <x:v>Jan-2016</x:v>
      </x:c>
      <x:c r="O27" s="102" t="n">
        <x:v>3977</x:v>
      </x:c>
      <x:c r="P27" s="102"/>
      <x:c r="Q27" s="102"/>
      <x:c r="R27" s="102"/>
      <x:c r="S27" s="102"/>
      <x:c r="T27" s="102"/>
      <x:c r="U27" s="102"/>
    </x:row>
    <x:row r="28">
      <x:c r="N28" s="102" t="str">
        <x:v>Feb-2016</x:v>
      </x:c>
      <x:c r="O28" s="102" t="n">
        <x:v>3819</x:v>
      </x:c>
      <x:c r="P28" s="102"/>
      <x:c r="Q28" s="102"/>
      <x:c r="R28" s="102"/>
      <x:c r="S28" s="102"/>
      <x:c r="T28" s="102"/>
      <x:c r="U28" s="102"/>
    </x:row>
    <x:row r="29">
      <x:c r="N29" s="102" t="str">
        <x:v>Mar-2016</x:v>
      </x:c>
      <x:c r="O29" s="102" t="n">
        <x:v>4195</x:v>
      </x:c>
      <x:c r="P29" s="102"/>
      <x:c r="Q29" s="102"/>
      <x:c r="R29" s="102"/>
      <x:c r="S29" s="102"/>
      <x:c r="T29" s="102"/>
      <x:c r="U29" s="102"/>
    </x:row>
    <x:row r="30">
      <x:c r="N30" s="102" t="str">
        <x:v>Apr-2016</x:v>
      </x:c>
      <x:c r="O30" s="102" t="n">
        <x:v>3952</x:v>
      </x:c>
      <x:c r="P30" s="102"/>
      <x:c r="Q30" s="102"/>
      <x:c r="R30" s="102"/>
      <x:c r="S30" s="102"/>
      <x:c r="T30" s="102"/>
      <x:c r="U30" s="102"/>
    </x:row>
    <x:row r="31">
      <x:c r="N31" s="102" t="str">
        <x:v>May-2016</x:v>
      </x:c>
      <x:c r="O31" s="102" t="n">
        <x:v>4250</x:v>
      </x:c>
      <x:c r="P31" s="102"/>
      <x:c r="Q31" s="102"/>
      <x:c r="R31" s="102"/>
      <x:c r="S31" s="102"/>
      <x:c r="T31" s="102"/>
      <x:c r="U31" s="102"/>
    </x:row>
    <x:row r="32">
      <x:c r="N32" s="102" t="str">
        <x:v>Jun-2016</x:v>
      </x:c>
      <x:c r="O32" s="102" t="n">
        <x:v>3979</x:v>
      </x:c>
      <x:c r="P32" s="102"/>
      <x:c r="Q32" s="102"/>
      <x:c r="R32" s="102"/>
      <x:c r="S32" s="102"/>
      <x:c r="T32" s="102"/>
      <x:c r="U32" s="102"/>
    </x:row>
    <x:row r="33">
      <x:c r="N33" s="102" t="str">
        <x:v>Jul-2016</x:v>
      </x:c>
      <x:c r="O33" s="102" t="n">
        <x:v>4260</x:v>
      </x:c>
      <x:c r="P33" s="102"/>
      <x:c r="Q33" s="102"/>
      <x:c r="R33" s="102"/>
      <x:c r="S33" s="102"/>
      <x:c r="T33" s="102"/>
      <x:c r="U33" s="102"/>
    </x:row>
    <x:row r="34">
      <x:c r="N34" s="102" t="str">
        <x:v>Aug-2016</x:v>
      </x:c>
      <x:c r="O34" s="102" t="n">
        <x:v>4201</x:v>
      </x:c>
      <x:c r="P34" s="102"/>
      <x:c r="Q34" s="102"/>
      <x:c r="R34" s="102"/>
      <x:c r="S34" s="102"/>
      <x:c r="T34" s="102"/>
      <x:c r="U34" s="102"/>
    </x:row>
    <x:row r="35">
      <x:c r="N35" s="102" t="str">
        <x:v>Sep-2016</x:v>
      </x:c>
      <x:c r="O35" s="102" t="n">
        <x:v>4055</x:v>
      </x:c>
      <x:c r="P35" s="102"/>
      <x:c r="Q35" s="102"/>
      <x:c r="R35" s="102"/>
      <x:c r="S35" s="102"/>
      <x:c r="T35" s="102"/>
      <x:c r="U35" s="102"/>
    </x:row>
    <x:row r="36">
      <x:c r="N36" s="102" t="str">
        <x:v>Oct-2016</x:v>
      </x:c>
      <x:c r="O36" s="102" t="n">
        <x:v>4122</x:v>
      </x:c>
      <x:c r="P36" s="102"/>
      <x:c r="Q36" s="102"/>
      <x:c r="R36" s="102"/>
      <x:c r="S36" s="102"/>
      <x:c r="T36" s="102"/>
      <x:c r="U36" s="102"/>
    </x:row>
    <x:row r="37">
      <x:c r="N37" s="102" t="str">
        <x:v>Nov-2016</x:v>
      </x:c>
      <x:c r="O37" s="102" t="n">
        <x:v>4101</x:v>
      </x:c>
      <x:c r="P37" s="102"/>
      <x:c r="Q37" s="102"/>
      <x:c r="R37" s="102"/>
      <x:c r="S37" s="102"/>
      <x:c r="T37" s="102"/>
      <x:c r="U37" s="102"/>
    </x:row>
    <x:row r="38">
      <x:c r="N38" s="102" t="str">
        <x:v>Dec-2016</x:v>
      </x:c>
      <x:c r="O38" s="102" t="n">
        <x:v>4314</x:v>
      </x:c>
      <x:c r="P38" s="102"/>
      <x:c r="Q38" s="102"/>
      <x:c r="R38" s="102"/>
      <x:c r="S38" s="102"/>
      <x:c r="T38" s="102"/>
      <x:c r="U38" s="102"/>
    </x:row>
    <x:row r="39">
      <x:c r="N39" s="102" t="str">
        <x:v>Jan-2017</x:v>
      </x:c>
      <x:c r="O39" s="102" t="n">
        <x:v>4270</x:v>
      </x:c>
      <x:c r="P39" s="102"/>
      <x:c r="Q39" s="102"/>
      <x:c r="R39" s="102"/>
      <x:c r="S39" s="102"/>
      <x:c r="T39" s="102"/>
      <x:c r="U39" s="102"/>
    </x:row>
    <x:row r="40">
      <x:c r="N40" s="102" t="str">
        <x:v>Feb-2017</x:v>
      </x:c>
      <x:c r="O40" s="102" t="n">
        <x:v>3856</x:v>
      </x:c>
      <x:c r="P40" s="102"/>
      <x:c r="Q40" s="102"/>
      <x:c r="R40" s="102"/>
      <x:c r="S40" s="102"/>
      <x:c r="T40" s="102"/>
      <x:c r="U40" s="102"/>
    </x:row>
    <x:row r="41">
      <x:c r="N41" s="102" t="str">
        <x:v>Mar-2017</x:v>
      </x:c>
      <x:c r="O41" s="102" t="n">
        <x:v>4592</x:v>
      </x:c>
      <x:c r="P41" s="102"/>
      <x:c r="Q41" s="102"/>
      <x:c r="R41" s="102"/>
      <x:c r="S41" s="102"/>
      <x:c r="T41" s="102"/>
      <x:c r="U41" s="102"/>
    </x:row>
    <x:row r="42">
      <x:c r="N42" s="102" t="str">
        <x:v>Apr-2017</x:v>
      </x:c>
      <x:c r="O42" s="102" t="n">
        <x:v>4162</x:v>
      </x:c>
      <x:c r="P42" s="102"/>
      <x:c r="Q42" s="102"/>
      <x:c r="R42" s="102"/>
      <x:c r="S42" s="102"/>
      <x:c r="T42" s="102"/>
      <x:c r="U42" s="102"/>
    </x:row>
    <x:row r="43">
      <x:c r="N43" s="102" t="str">
        <x:v>May-2017</x:v>
      </x:c>
      <x:c r="O43" s="102" t="n">
        <x:v>4447</x:v>
      </x:c>
      <x:c r="P43" s="102"/>
      <x:c r="Q43" s="102"/>
      <x:c r="R43" s="102"/>
      <x:c r="S43" s="102"/>
      <x:c r="T43" s="102"/>
      <x:c r="U43" s="102"/>
    </x:row>
    <x:row r="44">
      <x:c r="N44" s="102" t="str">
        <x:v>Jun-2017</x:v>
      </x:c>
      <x:c r="O44" s="102" t="n">
        <x:v>4285</x:v>
      </x:c>
      <x:c r="P44" s="102"/>
      <x:c r="Q44" s="102"/>
      <x:c r="R44" s="102"/>
      <x:c r="S44" s="102"/>
      <x:c r="T44" s="102"/>
      <x:c r="U44" s="102"/>
    </x:row>
    <x:row r="45">
      <x:c r="N45" s="102" t="str">
        <x:v>Jul-2017</x:v>
      </x:c>
      <x:c r="O45" s="102" t="n">
        <x:v>4376</x:v>
      </x:c>
      <x:c r="P45" s="102"/>
      <x:c r="Q45" s="102"/>
      <x:c r="R45" s="102"/>
      <x:c r="S45" s="102"/>
      <x:c r="T45" s="102"/>
      <x:c r="U45" s="102"/>
    </x:row>
    <x:row r="46">
      <x:c r="N46" s="102" t="str">
        <x:v>Aug-2017</x:v>
      </x:c>
      <x:c r="O46" s="102" t="n">
        <x:v>4509</x:v>
      </x:c>
      <x:c r="P46" s="102"/>
      <x:c r="Q46" s="102"/>
      <x:c r="R46" s="102"/>
      <x:c r="S46" s="102"/>
      <x:c r="T46" s="102"/>
      <x:c r="U46" s="102"/>
    </x:row>
    <x:row r="47">
      <x:c r="N47" s="102" t="str">
        <x:v>Sep-2017</x:v>
      </x:c>
      <x:c r="O47" s="102" t="n">
        <x:v>4361</x:v>
      </x:c>
      <x:c r="P47" s="102"/>
      <x:c r="Q47" s="102"/>
      <x:c r="R47" s="102"/>
      <x:c r="S47" s="102"/>
      <x:c r="T47" s="102"/>
      <x:c r="U47" s="102"/>
    </x:row>
    <x:row r="48">
      <x:c r="N48" s="102" t="str">
        <x:v>Oct-2017</x:v>
      </x:c>
      <x:c r="O48" s="102" t="n">
        <x:v>4487</x:v>
      </x:c>
      <x:c r="P48" s="102"/>
      <x:c r="Q48" s="102"/>
      <x:c r="R48" s="102"/>
      <x:c r="S48" s="102"/>
      <x:c r="T48" s="102"/>
      <x:c r="U48" s="102"/>
    </x:row>
    <x:row r="49">
      <x:c r="G49" s="13" t="str">
        <x:v>Management Highlights</x:v>
      </x:c>
      <x:c r="H49" s="13"/>
      <x:c r="I49" s="13"/>
      <x:c r="J49" s="13"/>
      <x:c r="K49" s="13"/>
      <x:c r="L49" s="13"/>
      <x:c r="N49" s="102" t="str">
        <x:v>Nov-2017</x:v>
      </x:c>
      <x:c r="O49" s="102" t="n">
        <x:v>4375</x:v>
      </x:c>
      <x:c r="P49" s="102"/>
      <x:c r="Q49" s="102"/>
      <x:c r="R49" s="102"/>
      <x:c r="S49" s="102"/>
      <x:c r="T49" s="102"/>
      <x:c r="U49" s="102"/>
    </x:row>
    <x:row r="50">
      <x:c r="G50" s="98" t="str">
        <x:v>• Approved and partially approved claims represent 78.6% of total volume.
• Open claims account for 13.9% of total volume and require queue prioritisation.
• SLA breaches affect approximately 40.8% of claims, indicating processing bottlenecks.
• Outpatient claims account for the largest claim volume and financial exposure.
• Paid amount remains below approved amount, requiring payment-pending reconciliation.
• All operational claim decisions shown here are project-generated synthetic outcomes.</x:v>
      </x:c>
      <x:c r="H50" s="98"/>
      <x:c r="I50" s="98"/>
      <x:c r="J50" s="98"/>
      <x:c r="K50" s="98"/>
      <x:c r="L50" s="98"/>
      <x:c r="N50" s="102" t="str">
        <x:v>Dec-2017</x:v>
      </x:c>
      <x:c r="O50" s="102" t="n">
        <x:v>4659</x:v>
      </x:c>
      <x:c r="P50" s="102"/>
      <x:c r="Q50" s="102"/>
      <x:c r="R50" s="102"/>
      <x:c r="S50" s="102"/>
      <x:c r="T50" s="102"/>
      <x:c r="U50" s="102"/>
    </x:row>
    <x:row r="51">
      <x:c r="G51" s="98"/>
      <x:c r="H51" s="98"/>
      <x:c r="I51" s="98"/>
      <x:c r="J51" s="98"/>
      <x:c r="K51" s="98"/>
      <x:c r="L51" s="98"/>
      <x:c r="N51" s="102" t="str">
        <x:v>Jan-2018</x:v>
      </x:c>
      <x:c r="O51" s="102" t="n">
        <x:v>4704</x:v>
      </x:c>
      <x:c r="P51" s="102"/>
      <x:c r="Q51" s="102"/>
      <x:c r="R51" s="102"/>
      <x:c r="S51" s="102"/>
      <x:c r="T51" s="102"/>
      <x:c r="U51" s="102"/>
    </x:row>
    <x:row r="52">
      <x:c r="G52" s="98"/>
      <x:c r="H52" s="98"/>
      <x:c r="I52" s="98"/>
      <x:c r="J52" s="98"/>
      <x:c r="K52" s="98"/>
      <x:c r="L52" s="98"/>
      <x:c r="N52" s="102" t="str">
        <x:v>Feb-2018</x:v>
      </x:c>
      <x:c r="O52" s="102" t="n">
        <x:v>4123</x:v>
      </x:c>
      <x:c r="P52" s="102"/>
      <x:c r="Q52" s="102"/>
      <x:c r="R52" s="102"/>
      <x:c r="S52" s="102"/>
      <x:c r="T52" s="102"/>
      <x:c r="U52" s="102"/>
    </x:row>
    <x:row r="53">
      <x:c r="G53" s="98"/>
      <x:c r="H53" s="98"/>
      <x:c r="I53" s="98"/>
      <x:c r="J53" s="98"/>
      <x:c r="K53" s="98"/>
      <x:c r="L53" s="98"/>
      <x:c r="N53" s="102" t="str">
        <x:v>Mar-2018</x:v>
      </x:c>
      <x:c r="O53" s="102" t="n">
        <x:v>4920</x:v>
      </x:c>
      <x:c r="P53" s="102"/>
      <x:c r="Q53" s="102"/>
      <x:c r="R53" s="102"/>
      <x:c r="S53" s="102"/>
      <x:c r="T53" s="102"/>
      <x:c r="U53" s="102"/>
    </x:row>
    <x:row r="54">
      <x:c r="G54" s="98"/>
      <x:c r="H54" s="98"/>
      <x:c r="I54" s="98"/>
      <x:c r="J54" s="98"/>
      <x:c r="K54" s="98"/>
      <x:c r="L54" s="98"/>
      <x:c r="N54" s="102" t="str">
        <x:v>Apr-2018</x:v>
      </x:c>
      <x:c r="O54" s="102" t="n">
        <x:v>4533</x:v>
      </x:c>
      <x:c r="P54" s="102"/>
      <x:c r="Q54" s="102"/>
      <x:c r="R54" s="102"/>
      <x:c r="S54" s="102"/>
      <x:c r="T54" s="102"/>
      <x:c r="U54" s="102"/>
    </x:row>
    <x:row r="55">
      <x:c r="G55" s="98"/>
      <x:c r="H55" s="98"/>
      <x:c r="I55" s="98"/>
      <x:c r="J55" s="98"/>
      <x:c r="K55" s="98"/>
      <x:c r="L55" s="98"/>
      <x:c r="N55" s="102" t="str">
        <x:v>May-2018</x:v>
      </x:c>
      <x:c r="O55" s="102" t="n">
        <x:v>4722</x:v>
      </x:c>
      <x:c r="P55" s="102"/>
      <x:c r="Q55" s="102"/>
      <x:c r="R55" s="102"/>
      <x:c r="S55" s="102"/>
      <x:c r="T55" s="102"/>
      <x:c r="U55" s="102"/>
    </x:row>
    <x:row r="56">
      <x:c r="G56" s="98"/>
      <x:c r="H56" s="98"/>
      <x:c r="I56" s="98"/>
      <x:c r="J56" s="98"/>
      <x:c r="K56" s="98"/>
      <x:c r="L56" s="98"/>
      <x:c r="N56" s="102" t="str">
        <x:v>Jun-2018</x:v>
      </x:c>
      <x:c r="O56" s="102" t="n">
        <x:v>4581</x:v>
      </x:c>
      <x:c r="P56" s="102"/>
      <x:c r="Q56" s="102"/>
      <x:c r="R56" s="102"/>
      <x:c r="S56" s="102"/>
      <x:c r="T56" s="102"/>
      <x:c r="U56" s="102"/>
    </x:row>
    <x:row r="57">
      <x:c r="N57" s="102" t="str">
        <x:v>Jul-2018</x:v>
      </x:c>
      <x:c r="O57" s="102" t="n">
        <x:v>4730</x:v>
      </x:c>
      <x:c r="P57" s="102"/>
      <x:c r="Q57" s="102"/>
      <x:c r="R57" s="102"/>
      <x:c r="S57" s="102"/>
      <x:c r="T57" s="102"/>
      <x:c r="U57" s="102"/>
    </x:row>
    <x:row r="58">
      <x:c r="N58" s="102" t="str">
        <x:v>Aug-2018</x:v>
      </x:c>
      <x:c r="O58" s="102" t="n">
        <x:v>4789</x:v>
      </x:c>
      <x:c r="P58" s="102"/>
      <x:c r="Q58" s="102"/>
      <x:c r="R58" s="102"/>
      <x:c r="S58" s="102"/>
      <x:c r="T58" s="102"/>
      <x:c r="U58" s="102"/>
    </x:row>
    <x:row r="59">
      <x:c r="N59" s="102" t="str">
        <x:v>Sep-2018</x:v>
      </x:c>
      <x:c r="O59" s="102" t="n">
        <x:v>4537</x:v>
      </x:c>
      <x:c r="P59" s="102"/>
      <x:c r="Q59" s="102"/>
      <x:c r="R59" s="102"/>
      <x:c r="S59" s="102"/>
      <x:c r="T59" s="102"/>
      <x:c r="U59" s="102"/>
    </x:row>
    <x:row r="60">
      <x:c r="N60" s="102" t="str">
        <x:v>Oct-2018</x:v>
      </x:c>
      <x:c r="O60" s="102" t="n">
        <x:v>4762</x:v>
      </x:c>
      <x:c r="P60" s="102"/>
      <x:c r="Q60" s="102"/>
      <x:c r="R60" s="102"/>
      <x:c r="S60" s="102"/>
      <x:c r="T60" s="102"/>
      <x:c r="U60" s="102"/>
    </x:row>
    <x:row r="61">
      <x:c r="N61" s="102" t="str">
        <x:v>Nov-2018</x:v>
      </x:c>
      <x:c r="O61" s="102" t="n">
        <x:v>4647</x:v>
      </x:c>
      <x:c r="P61" s="102"/>
      <x:c r="Q61" s="102"/>
      <x:c r="R61" s="102"/>
      <x:c r="S61" s="102"/>
      <x:c r="T61" s="102"/>
      <x:c r="U61" s="102"/>
    </x:row>
    <x:row r="62">
      <x:c r="N62" s="102" t="str">
        <x:v>Dec-2018</x:v>
      </x:c>
      <x:c r="O62" s="102" t="n">
        <x:v>4884</x:v>
      </x:c>
      <x:c r="P62" s="102"/>
      <x:c r="Q62" s="102"/>
      <x:c r="R62" s="102"/>
      <x:c r="S62" s="102"/>
      <x:c r="T62" s="102"/>
      <x:c r="U62" s="102"/>
    </x:row>
    <x:row r="63">
      <x:c r="N63" s="102" t="str">
        <x:v>Jan-2019</x:v>
      </x:c>
      <x:c r="O63" s="102" t="n">
        <x:v>4971</x:v>
      </x:c>
      <x:c r="P63" s="102"/>
      <x:c r="Q63" s="102"/>
      <x:c r="R63" s="102"/>
      <x:c r="S63" s="102"/>
      <x:c r="T63" s="102"/>
      <x:c r="U63" s="102"/>
    </x:row>
    <x:row r="64">
      <x:c r="N64" s="102" t="str">
        <x:v>Feb-2019</x:v>
      </x:c>
      <x:c r="O64" s="102" t="n">
        <x:v>4453</x:v>
      </x:c>
      <x:c r="P64" s="102"/>
      <x:c r="Q64" s="102"/>
      <x:c r="R64" s="102"/>
      <x:c r="S64" s="102"/>
      <x:c r="T64" s="102"/>
      <x:c r="U64" s="102"/>
    </x:row>
    <x:row r="65">
      <x:c r="N65" s="102" t="str">
        <x:v>Mar-2019</x:v>
      </x:c>
      <x:c r="O65" s="102" t="n">
        <x:v>5376</x:v>
      </x:c>
      <x:c r="P65" s="102"/>
      <x:c r="Q65" s="102"/>
      <x:c r="R65" s="102"/>
      <x:c r="S65" s="102"/>
      <x:c r="T65" s="102"/>
      <x:c r="U65" s="102"/>
    </x:row>
    <x:row r="66">
      <x:c r="N66" s="102" t="str">
        <x:v>Apr-2019</x:v>
      </x:c>
      <x:c r="O66" s="102" t="n">
        <x:v>5026</x:v>
      </x:c>
      <x:c r="P66" s="102"/>
      <x:c r="Q66" s="102"/>
      <x:c r="R66" s="102"/>
      <x:c r="S66" s="102"/>
      <x:c r="T66" s="102"/>
      <x:c r="U66" s="102"/>
    </x:row>
    <x:row r="67">
      <x:c r="N67" s="102" t="str">
        <x:v>May-2019</x:v>
      </x:c>
      <x:c r="O67" s="102" t="n">
        <x:v>5083</x:v>
      </x:c>
      <x:c r="P67" s="102"/>
      <x:c r="Q67" s="102"/>
      <x:c r="R67" s="102"/>
      <x:c r="S67" s="102"/>
      <x:c r="T67" s="102"/>
      <x:c r="U67" s="102"/>
    </x:row>
    <x:row r="68">
      <x:c r="N68" s="102" t="str">
        <x:v>Jun-2019</x:v>
      </x:c>
      <x:c r="O68" s="102" t="n">
        <x:v>5136</x:v>
      </x:c>
      <x:c r="P68" s="102"/>
      <x:c r="Q68" s="102"/>
      <x:c r="R68" s="102"/>
      <x:c r="S68" s="102"/>
      <x:c r="T68" s="102"/>
      <x:c r="U68" s="102"/>
    </x:row>
    <x:row r="69">
      <x:c r="N69" s="102" t="str">
        <x:v>Jul-2019</x:v>
      </x:c>
      <x:c r="O69" s="102" t="n">
        <x:v>5298</x:v>
      </x:c>
      <x:c r="P69" s="102"/>
      <x:c r="Q69" s="102"/>
      <x:c r="R69" s="102"/>
      <x:c r="S69" s="102"/>
      <x:c r="T69" s="102"/>
      <x:c r="U69" s="102"/>
    </x:row>
    <x:row r="70">
      <x:c r="N70" s="102" t="str">
        <x:v>Aug-2019</x:v>
      </x:c>
      <x:c r="O70" s="102" t="n">
        <x:v>5341</x:v>
      </x:c>
      <x:c r="P70" s="102"/>
      <x:c r="Q70" s="102"/>
      <x:c r="R70" s="102"/>
      <x:c r="S70" s="102"/>
      <x:c r="T70" s="102"/>
      <x:c r="U70" s="102"/>
    </x:row>
    <x:row r="71">
      <x:c r="N71" s="102" t="str">
        <x:v>Sep-2019</x:v>
      </x:c>
      <x:c r="O71" s="102" t="n">
        <x:v>5195</x:v>
      </x:c>
      <x:c r="P71" s="102"/>
      <x:c r="Q71" s="102"/>
      <x:c r="R71" s="102"/>
      <x:c r="S71" s="102"/>
      <x:c r="T71" s="102"/>
      <x:c r="U71" s="102"/>
    </x:row>
    <x:row r="72">
      <x:c r="N72" s="102" t="str">
        <x:v>Oct-2019</x:v>
      </x:c>
      <x:c r="O72" s="102" t="n">
        <x:v>5479</x:v>
      </x:c>
      <x:c r="P72" s="102"/>
      <x:c r="Q72" s="102"/>
      <x:c r="R72" s="102"/>
      <x:c r="S72" s="102"/>
      <x:c r="T72" s="102"/>
      <x:c r="U72" s="102"/>
    </x:row>
    <x:row r="73">
      <x:c r="N73" s="102" t="str">
        <x:v>Nov-2019</x:v>
      </x:c>
      <x:c r="O73" s="102" t="n">
        <x:v>5299</x:v>
      </x:c>
      <x:c r="P73" s="102"/>
      <x:c r="Q73" s="102"/>
      <x:c r="R73" s="102"/>
      <x:c r="S73" s="102"/>
      <x:c r="T73" s="102"/>
      <x:c r="U73" s="102"/>
    </x:row>
    <x:row r="74">
      <x:c r="N74" s="102" t="str">
        <x:v>Dec-2019</x:v>
      </x:c>
      <x:c r="O74" s="102" t="n">
        <x:v>5611</x:v>
      </x:c>
      <x:c r="P74" s="102"/>
      <x:c r="Q74" s="102"/>
      <x:c r="R74" s="102"/>
      <x:c r="S74" s="102"/>
      <x:c r="T74" s="102"/>
      <x:c r="U74" s="102"/>
    </x:row>
    <x:row r="75">
      <x:c r="N75" s="102" t="str">
        <x:v>Jan-2020</x:v>
      </x:c>
      <x:c r="O75" s="102" t="n">
        <x:v>5686</x:v>
      </x:c>
      <x:c r="P75" s="102"/>
      <x:c r="Q75" s="102"/>
      <x:c r="R75" s="102"/>
      <x:c r="S75" s="102"/>
      <x:c r="T75" s="102"/>
      <x:c r="U75" s="102"/>
    </x:row>
    <x:row r="76">
      <x:c r="N76" s="102" t="str">
        <x:v>Feb-2020</x:v>
      </x:c>
      <x:c r="O76" s="102" t="n">
        <x:v>5330</x:v>
      </x:c>
      <x:c r="P76" s="102"/>
      <x:c r="Q76" s="102"/>
      <x:c r="R76" s="102"/>
      <x:c r="S76" s="102"/>
      <x:c r="T76" s="102"/>
      <x:c r="U76" s="102"/>
    </x:row>
    <x:row r="77">
      <x:c r="N77" s="102" t="str">
        <x:v>Mar-2020</x:v>
      </x:c>
      <x:c r="O77" s="102" t="n">
        <x:v>5852</x:v>
      </x:c>
      <x:c r="P77" s="102"/>
      <x:c r="Q77" s="102"/>
      <x:c r="R77" s="102"/>
      <x:c r="S77" s="102"/>
      <x:c r="T77" s="102"/>
      <x:c r="U77" s="102"/>
    </x:row>
    <x:row r="78">
      <x:c r="N78" s="102" t="str">
        <x:v>Apr-2020</x:v>
      </x:c>
      <x:c r="O78" s="102" t="n">
        <x:v>5660</x:v>
      </x:c>
      <x:c r="P78" s="102"/>
      <x:c r="Q78" s="102"/>
      <x:c r="R78" s="102"/>
      <x:c r="S78" s="102"/>
      <x:c r="T78" s="102"/>
      <x:c r="U78" s="102"/>
    </x:row>
    <x:row r="79">
      <x:c r="N79" s="102" t="str">
        <x:v>May-2020</x:v>
      </x:c>
      <x:c r="O79" s="102" t="n">
        <x:v>5942</x:v>
      </x:c>
      <x:c r="P79" s="102"/>
      <x:c r="Q79" s="102"/>
      <x:c r="R79" s="102"/>
      <x:c r="S79" s="102"/>
      <x:c r="T79" s="102"/>
      <x:c r="U79" s="102"/>
    </x:row>
    <x:row r="80">
      <x:c r="N80" s="102" t="str">
        <x:v>Jun-2020</x:v>
      </x:c>
      <x:c r="O80" s="102" t="n">
        <x:v>5710</x:v>
      </x:c>
      <x:c r="P80" s="102"/>
      <x:c r="Q80" s="102"/>
      <x:c r="R80" s="102"/>
      <x:c r="S80" s="102"/>
      <x:c r="T80" s="102"/>
      <x:c r="U80" s="102"/>
    </x:row>
    <x:row r="81">
      <x:c r="N81" s="102" t="str">
        <x:v>Jul-2020</x:v>
      </x:c>
      <x:c r="O81" s="102" t="n">
        <x:v>6050</x:v>
      </x:c>
      <x:c r="P81" s="102"/>
      <x:c r="Q81" s="102"/>
      <x:c r="R81" s="102"/>
      <x:c r="S81" s="102"/>
      <x:c r="T81" s="102"/>
      <x:c r="U81" s="102"/>
    </x:row>
    <x:row r="82">
      <x:c r="N82" s="102" t="str">
        <x:v>Aug-2020</x:v>
      </x:c>
      <x:c r="O82" s="102" t="n">
        <x:v>6107</x:v>
      </x:c>
      <x:c r="P82" s="102"/>
      <x:c r="Q82" s="102"/>
      <x:c r="R82" s="102"/>
      <x:c r="S82" s="102"/>
      <x:c r="T82" s="102"/>
      <x:c r="U82" s="102"/>
    </x:row>
    <x:row r="83">
      <x:c r="N83" s="102" t="str">
        <x:v>Sep-2020</x:v>
      </x:c>
      <x:c r="O83" s="102" t="n">
        <x:v>5747</x:v>
      </x:c>
      <x:c r="P83" s="102"/>
      <x:c r="Q83" s="102"/>
      <x:c r="R83" s="102"/>
      <x:c r="S83" s="102"/>
      <x:c r="T83" s="102"/>
      <x:c r="U83" s="102"/>
    </x:row>
    <x:row r="84">
      <x:c r="N84" s="102" t="str">
        <x:v>Oct-2020</x:v>
      </x:c>
      <x:c r="O84" s="102" t="n">
        <x:v>5992</x:v>
      </x:c>
      <x:c r="P84" s="102"/>
      <x:c r="Q84" s="102"/>
      <x:c r="R84" s="102"/>
      <x:c r="S84" s="102"/>
      <x:c r="T84" s="102"/>
      <x:c r="U84" s="102"/>
    </x:row>
    <x:row r="85">
      <x:c r="N85" s="102" t="str">
        <x:v>Nov-2020</x:v>
      </x:c>
      <x:c r="O85" s="102" t="n">
        <x:v>5866</x:v>
      </x:c>
      <x:c r="P85" s="102"/>
      <x:c r="Q85" s="102"/>
      <x:c r="R85" s="102"/>
      <x:c r="S85" s="102"/>
      <x:c r="T85" s="102"/>
      <x:c r="U85" s="102"/>
    </x:row>
    <x:row r="86">
      <x:c r="N86" s="102" t="str">
        <x:v>Dec-2020</x:v>
      </x:c>
      <x:c r="O86" s="102" t="n">
        <x:v>6011</x:v>
      </x:c>
      <x:c r="P86" s="102"/>
      <x:c r="Q86" s="102"/>
      <x:c r="R86" s="102"/>
      <x:c r="S86" s="102"/>
      <x:c r="T86" s="102"/>
      <x:c r="U86" s="102"/>
    </x:row>
    <x:row r="87">
      <x:c r="N87" s="102" t="str">
        <x:v>Jan-2021</x:v>
      </x:c>
      <x:c r="O87" s="102" t="n">
        <x:v>6831</x:v>
      </x:c>
      <x:c r="P87" s="102"/>
      <x:c r="Q87" s="102"/>
      <x:c r="R87" s="102"/>
      <x:c r="S87" s="102"/>
      <x:c r="T87" s="102"/>
      <x:c r="U87" s="102"/>
    </x:row>
    <x:row r="88">
      <x:c r="N88" s="102" t="str">
        <x:v>Feb-2021</x:v>
      </x:c>
      <x:c r="O88" s="102" t="n">
        <x:v>7553</x:v>
      </x:c>
      <x:c r="P88" s="102"/>
      <x:c r="Q88" s="102"/>
      <x:c r="R88" s="102"/>
      <x:c r="S88" s="102"/>
      <x:c r="T88" s="102"/>
      <x:c r="U88" s="102"/>
    </x:row>
    <x:row r="89">
      <x:c r="N89" s="102" t="str">
        <x:v>Mar-2021</x:v>
      </x:c>
      <x:c r="O89" s="102" t="n">
        <x:v>9480</x:v>
      </x:c>
      <x:c r="P89" s="102"/>
      <x:c r="Q89" s="102"/>
      <x:c r="R89" s="102"/>
      <x:c r="S89" s="102"/>
      <x:c r="T89" s="102"/>
      <x:c r="U89" s="102"/>
    </x:row>
    <x:row r="90">
      <x:c r="N90" s="102" t="str">
        <x:v>Apr-2021</x:v>
      </x:c>
      <x:c r="O90" s="102" t="n">
        <x:v>8787</x:v>
      </x:c>
      <x:c r="P90" s="102"/>
      <x:c r="Q90" s="102"/>
      <x:c r="R90" s="102"/>
      <x:c r="S90" s="102"/>
      <x:c r="T90" s="102"/>
      <x:c r="U90" s="102"/>
    </x:row>
    <x:row r="91">
      <x:c r="N91" s="102" t="str">
        <x:v>May-2021</x:v>
      </x:c>
      <x:c r="O91" s="102" t="n">
        <x:v>7759</x:v>
      </x:c>
      <x:c r="P91" s="102"/>
      <x:c r="Q91" s="102"/>
      <x:c r="R91" s="102"/>
      <x:c r="S91" s="102"/>
      <x:c r="T91" s="102"/>
      <x:c r="U91" s="102"/>
    </x:row>
    <x:row r="92">
      <x:c r="N92" s="102" t="str">
        <x:v>Jun-2021</x:v>
      </x:c>
      <x:c r="O92" s="102" t="n">
        <x:v>6728</x:v>
      </x:c>
      <x:c r="P92" s="102"/>
      <x:c r="Q92" s="102"/>
      <x:c r="R92" s="102"/>
      <x:c r="S92" s="102"/>
      <x:c r="T92" s="102"/>
      <x:c r="U92" s="102"/>
    </x:row>
    <x:row r="93">
      <x:c r="N93" s="102" t="str">
        <x:v>Jul-2021</x:v>
      </x:c>
      <x:c r="O93" s="102" t="n">
        <x:v>6714</x:v>
      </x:c>
      <x:c r="P93" s="102"/>
      <x:c r="Q93" s="102"/>
      <x:c r="R93" s="102"/>
      <x:c r="S93" s="102"/>
      <x:c r="T93" s="102"/>
      <x:c r="U93" s="102"/>
    </x:row>
    <x:row r="94">
      <x:c r="N94" s="102" t="str">
        <x:v>Aug-2021</x:v>
      </x:c>
      <x:c r="O94" s="102" t="n">
        <x:v>6854</x:v>
      </x:c>
      <x:c r="P94" s="102"/>
      <x:c r="Q94" s="102"/>
      <x:c r="R94" s="102"/>
      <x:c r="S94" s="102"/>
      <x:c r="T94" s="102"/>
      <x:c r="U94" s="102"/>
    </x:row>
    <x:row r="95">
      <x:c r="N95" s="102" t="str">
        <x:v>Sep-2021</x:v>
      </x:c>
      <x:c r="O95" s="102" t="n">
        <x:v>6632</x:v>
      </x:c>
      <x:c r="P95" s="102"/>
      <x:c r="Q95" s="102"/>
      <x:c r="R95" s="102"/>
      <x:c r="S95" s="102"/>
      <x:c r="T95" s="102"/>
      <x:c r="U95" s="102"/>
    </x:row>
    <x:row r="96">
      <x:c r="N96" s="102" t="str">
        <x:v>Oct-2021</x:v>
      </x:c>
      <x:c r="O96" s="102" t="n">
        <x:v>6890</x:v>
      </x:c>
      <x:c r="P96" s="102"/>
      <x:c r="Q96" s="102"/>
      <x:c r="R96" s="102"/>
      <x:c r="S96" s="102"/>
      <x:c r="T96" s="102"/>
      <x:c r="U96" s="102"/>
    </x:row>
    <x:row r="97">
      <x:c r="N97" s="102" t="str">
        <x:v>Nov-2021</x:v>
      </x:c>
      <x:c r="O97" s="102" t="n">
        <x:v>6750</x:v>
      </x:c>
      <x:c r="P97" s="102"/>
      <x:c r="Q97" s="102"/>
      <x:c r="R97" s="102"/>
      <x:c r="S97" s="102"/>
      <x:c r="T97" s="102"/>
      <x:c r="U97" s="102"/>
    </x:row>
    <x:row r="98">
      <x:c r="N98" s="102" t="str">
        <x:v>Dec-2021</x:v>
      </x:c>
      <x:c r="O98" s="102" t="n">
        <x:v>6707</x:v>
      </x:c>
      <x:c r="P98" s="102"/>
      <x:c r="Q98" s="102"/>
      <x:c r="R98" s="102"/>
      <x:c r="S98" s="102"/>
      <x:c r="T98" s="102"/>
      <x:c r="U98" s="102"/>
    </x:row>
    <x:row r="99">
      <x:c r="N99" s="102" t="str">
        <x:v>Jan-2022</x:v>
      </x:c>
      <x:c r="O99" s="102" t="n">
        <x:v>6820</x:v>
      </x:c>
      <x:c r="P99" s="102"/>
      <x:c r="Q99" s="102"/>
      <x:c r="R99" s="102"/>
      <x:c r="S99" s="102"/>
      <x:c r="T99" s="102"/>
      <x:c r="U99" s="102"/>
    </x:row>
    <x:row r="100">
      <x:c r="N100" s="102" t="str">
        <x:v>Feb-2022</x:v>
      </x:c>
      <x:c r="O100" s="102" t="n">
        <x:v>6160</x:v>
      </x:c>
      <x:c r="P100" s="102"/>
      <x:c r="Q100" s="102"/>
      <x:c r="R100" s="102"/>
      <x:c r="S100" s="102"/>
      <x:c r="T100" s="102"/>
      <x:c r="U100" s="102"/>
    </x:row>
    <x:row r="101">
      <x:c r="N101" s="102" t="str">
        <x:v>Mar-2022</x:v>
      </x:c>
      <x:c r="O101" s="102" t="n">
        <x:v>6904</x:v>
      </x:c>
      <x:c r="P101" s="102"/>
      <x:c r="Q101" s="102"/>
      <x:c r="R101" s="102"/>
      <x:c r="S101" s="102"/>
      <x:c r="T101" s="102"/>
      <x:c r="U101" s="102"/>
    </x:row>
    <x:row r="102">
      <x:c r="N102" s="102" t="str">
        <x:v>Apr-2022</x:v>
      </x:c>
      <x:c r="O102" s="102" t="n">
        <x:v>7032</x:v>
      </x:c>
      <x:c r="P102" s="102"/>
      <x:c r="Q102" s="102"/>
      <x:c r="R102" s="102"/>
      <x:c r="S102" s="102"/>
      <x:c r="T102" s="102"/>
      <x:c r="U102" s="102"/>
    </x:row>
    <x:row r="103">
      <x:c r="N103" s="102" t="str">
        <x:v>May-2022</x:v>
      </x:c>
      <x:c r="O103" s="102" t="n">
        <x:v>6913</x:v>
      </x:c>
      <x:c r="P103" s="102"/>
      <x:c r="Q103" s="102"/>
      <x:c r="R103" s="102"/>
      <x:c r="S103" s="102"/>
      <x:c r="T103" s="102"/>
      <x:c r="U103" s="102"/>
    </x:row>
    <x:row r="104">
      <x:c r="N104" s="102" t="str">
        <x:v>Jun-2022</x:v>
      </x:c>
      <x:c r="O104" s="102" t="n">
        <x:v>6895</x:v>
      </x:c>
      <x:c r="P104" s="102"/>
      <x:c r="Q104" s="102"/>
      <x:c r="R104" s="102"/>
      <x:c r="S104" s="102"/>
      <x:c r="T104" s="102"/>
      <x:c r="U104" s="102"/>
    </x:row>
    <x:row r="105">
      <x:c r="N105" s="102" t="str">
        <x:v>Jul-2022</x:v>
      </x:c>
      <x:c r="O105" s="102" t="n">
        <x:v>7026</x:v>
      </x:c>
      <x:c r="P105" s="102"/>
      <x:c r="Q105" s="102"/>
      <x:c r="R105" s="102"/>
      <x:c r="S105" s="102"/>
      <x:c r="T105" s="102"/>
      <x:c r="U105" s="102"/>
    </x:row>
    <x:row r="106">
      <x:c r="N106" s="102" t="str">
        <x:v>Aug-2022</x:v>
      </x:c>
      <x:c r="O106" s="102" t="n">
        <x:v>7288</x:v>
      </x:c>
      <x:c r="P106" s="102"/>
      <x:c r="Q106" s="102"/>
      <x:c r="R106" s="102"/>
      <x:c r="S106" s="102"/>
      <x:c r="T106" s="102"/>
      <x:c r="U106" s="102"/>
    </x:row>
    <x:row r="107">
      <x:c r="N107" s="102" t="str">
        <x:v>Sep-2022</x:v>
      </x:c>
      <x:c r="O107" s="102" t="n">
        <x:v>7057</x:v>
      </x:c>
      <x:c r="P107" s="102"/>
      <x:c r="Q107" s="102"/>
      <x:c r="R107" s="102"/>
      <x:c r="S107" s="102"/>
      <x:c r="T107" s="102"/>
      <x:c r="U107" s="102"/>
    </x:row>
    <x:row r="108">
      <x:c r="N108" s="102" t="str">
        <x:v>Oct-2022</x:v>
      </x:c>
      <x:c r="O108" s="102" t="n">
        <x:v>7357</x:v>
      </x:c>
      <x:c r="P108" s="102"/>
      <x:c r="Q108" s="102"/>
      <x:c r="R108" s="102"/>
      <x:c r="S108" s="102"/>
      <x:c r="T108" s="102"/>
      <x:c r="U108" s="102"/>
    </x:row>
    <x:row r="109">
      <x:c r="N109" s="102" t="str">
        <x:v>Nov-2022</x:v>
      </x:c>
      <x:c r="O109" s="102" t="n">
        <x:v>7117</x:v>
      </x:c>
      <x:c r="P109" s="102"/>
      <x:c r="Q109" s="102"/>
      <x:c r="R109" s="102"/>
      <x:c r="S109" s="102"/>
      <x:c r="T109" s="102"/>
      <x:c r="U109" s="102"/>
    </x:row>
    <x:row r="110">
      <x:c r="N110" s="102" t="str">
        <x:v>Dec-2022</x:v>
      </x:c>
      <x:c r="O110" s="102" t="n">
        <x:v>7344</x:v>
      </x:c>
      <x:c r="P110" s="102"/>
      <x:c r="Q110" s="102"/>
      <x:c r="R110" s="102"/>
      <x:c r="S110" s="102"/>
      <x:c r="T110" s="102"/>
      <x:c r="U110" s="102"/>
    </x:row>
    <x:row r="111">
      <x:c r="N111" s="102" t="str">
        <x:v>Jan-2023</x:v>
      </x:c>
      <x:c r="O111" s="102" t="n">
        <x:v>7462</x:v>
      </x:c>
      <x:c r="P111" s="102"/>
      <x:c r="Q111" s="102"/>
      <x:c r="R111" s="102"/>
      <x:c r="S111" s="102"/>
      <x:c r="T111" s="102"/>
      <x:c r="U111" s="102"/>
    </x:row>
    <x:row r="112">
      <x:c r="N112" s="102" t="str">
        <x:v>Feb-2023</x:v>
      </x:c>
      <x:c r="O112" s="102" t="n">
        <x:v>6874</x:v>
      </x:c>
      <x:c r="P112" s="102"/>
      <x:c r="Q112" s="102"/>
      <x:c r="R112" s="102"/>
      <x:c r="S112" s="102"/>
      <x:c r="T112" s="102"/>
      <x:c r="U112" s="102"/>
    </x:row>
    <x:row r="113">
      <x:c r="N113" s="102" t="str">
        <x:v>Mar-2023</x:v>
      </x:c>
      <x:c r="O113" s="102" t="n">
        <x:v>1316</x:v>
      </x:c>
      <x:c r="P113" s="102"/>
      <x:c r="Q113" s="102"/>
      <x:c r="R113" s="102"/>
      <x:c r="S113" s="102"/>
      <x:c r="T113" s="102"/>
      <x:c r="U113" s="102"/>
    </x:row>
    <x:row r="114">
      <x:c r="N114" s="102"/>
      <x:c r="O114" s="102"/>
      <x:c r="P114" s="102"/>
      <x:c r="Q114" s="102"/>
      <x:c r="R114" s="102"/>
      <x:c r="S114" s="102"/>
      <x:c r="T114" s="102"/>
      <x:c r="U114" s="102"/>
    </x:row>
    <x:row r="115">
      <x:c r="N115" s="102"/>
      <x:c r="O115" s="102"/>
      <x:c r="P115" s="102"/>
      <x:c r="Q115" s="102"/>
      <x:c r="R115" s="102"/>
      <x:c r="S115" s="102"/>
      <x:c r="T115" s="102"/>
      <x:c r="U115" s="102"/>
    </x:row>
  </x:sheetData>
  <x:mergeCells>
    <x:mergeCell ref="A1:L2"/>
    <x:mergeCell ref="A3:L3"/>
    <x:mergeCell ref="A4:C4"/>
    <x:mergeCell ref="D4:F4"/>
    <x:mergeCell ref="G4:I4"/>
    <x:mergeCell ref="J4:L4"/>
    <x:mergeCell ref="A5:C7"/>
    <x:mergeCell ref="D5:F7"/>
    <x:mergeCell ref="G5:I7"/>
    <x:mergeCell ref="J5:L7"/>
    <x:mergeCell ref="A8:C8"/>
    <x:mergeCell ref="D8:F8"/>
    <x:mergeCell ref="G8:I8"/>
    <x:mergeCell ref="J8:L8"/>
    <x:mergeCell ref="A9:C11"/>
    <x:mergeCell ref="D9:F11"/>
    <x:mergeCell ref="G9:I11"/>
    <x:mergeCell ref="J9:L11"/>
    <x:mergeCell ref="G49:L49"/>
    <x:mergeCell ref="G50:L56"/>
  </x:mergeCells>
  <x:pageMargins left="0.7" right="0.7" top="0.75" bottom="0.75" header="0.3" footer="0.3"/>
  <x:drawing xmlns:r="http://schemas.openxmlformats.org/officeDocument/2006/relationships" r:id="Rd7e5449ed9d2478f"/>
</x:worksheet>
</file>